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Dudung Thea\Kalender Pendidikan\TP 2025-2026\"/>
    </mc:Choice>
  </mc:AlternateContent>
  <xr:revisionPtr revIDLastSave="0" documentId="13_ncr:1_{97B0467D-A5AB-441E-93F5-92597E529943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Kaldik Baru" sheetId="10" state="hidden" r:id="rId1"/>
    <sheet name="Kalender" sheetId="1" r:id="rId2"/>
    <sheet name="H. Efektif" sheetId="2" r:id="rId3"/>
    <sheet name="Jumlah JP" sheetId="7" state="hidden" r:id="rId4"/>
    <sheet name="Jadwal Kokuli Blok" sheetId="13" r:id="rId5"/>
    <sheet name="Hitung JP Kelas" sheetId="11" r:id="rId6"/>
    <sheet name="Hitung JP Mapel" sheetId="12" r:id="rId7"/>
    <sheet name="lmpiran KTSP " sheetId="6" r:id="rId8"/>
    <sheet name="Jadwal Pelajaran 6" sheetId="9" state="hidden" r:id="rId9"/>
  </sheets>
  <definedNames>
    <definedName name="_xlnm.Print_Area" localSheetId="3">'Jumlah JP'!$A$22:$AC$49</definedName>
    <definedName name="_xlnm.Print_Area" localSheetId="1">Kalender!$A$1:$AN$39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6" i="6" l="1"/>
  <c r="AL27" i="6" s="1"/>
  <c r="AK26" i="6"/>
  <c r="AK27" i="6" s="1"/>
  <c r="AJ26" i="6"/>
  <c r="AJ27" i="6" s="1"/>
  <c r="AI26" i="6"/>
  <c r="AI27" i="6" s="1"/>
  <c r="AM25" i="6"/>
  <c r="AM24" i="6"/>
  <c r="AM23" i="6"/>
  <c r="AM22" i="6"/>
  <c r="AM21" i="6"/>
  <c r="AM20" i="6"/>
  <c r="AM26" i="6" s="1"/>
  <c r="AL16" i="6"/>
  <c r="AK16" i="6"/>
  <c r="AJ16" i="6"/>
  <c r="AI16" i="6"/>
  <c r="AM15" i="6"/>
  <c r="AM14" i="6"/>
  <c r="AM13" i="6"/>
  <c r="AM12" i="6"/>
  <c r="AM16" i="6" s="1"/>
  <c r="AM11" i="6"/>
  <c r="AM10" i="6"/>
  <c r="U13" i="11"/>
  <c r="J51" i="10"/>
  <c r="I51" i="10"/>
  <c r="H51" i="10"/>
  <c r="G51" i="10"/>
  <c r="F51" i="10"/>
  <c r="E51" i="10"/>
  <c r="J50" i="10"/>
  <c r="I50" i="10"/>
  <c r="H50" i="10"/>
  <c r="G50" i="10"/>
  <c r="F50" i="10"/>
  <c r="E50" i="10"/>
  <c r="L79" i="2"/>
  <c r="AM27" i="6" l="1"/>
  <c r="K50" i="10"/>
  <c r="K51" i="10"/>
  <c r="AA32" i="7"/>
  <c r="L39" i="2" l="1"/>
  <c r="L85" i="2" s="1"/>
  <c r="L38" i="2"/>
  <c r="L84" i="2" s="1"/>
  <c r="L34" i="2"/>
  <c r="L80" i="2" s="1"/>
  <c r="B3" i="2"/>
  <c r="B43" i="2" s="1"/>
  <c r="AL23" i="1"/>
  <c r="AK23" i="1"/>
  <c r="AJ23" i="1"/>
  <c r="AI23" i="1"/>
  <c r="AM22" i="1"/>
  <c r="AM21" i="1"/>
  <c r="AM20" i="1"/>
  <c r="AM19" i="1"/>
  <c r="AM18" i="1"/>
  <c r="AM17" i="1"/>
  <c r="AL13" i="1"/>
  <c r="AK13" i="1"/>
  <c r="AJ13" i="1"/>
  <c r="AI13" i="1"/>
  <c r="AM12" i="1"/>
  <c r="AM11" i="1"/>
  <c r="AM10" i="1"/>
  <c r="AM9" i="1"/>
  <c r="AM8" i="1"/>
  <c r="AM7" i="1"/>
  <c r="AI24" i="1" l="1"/>
  <c r="AK24" i="1"/>
  <c r="AL24" i="1"/>
  <c r="AM13" i="1"/>
  <c r="AJ24" i="1"/>
  <c r="AM23" i="1"/>
  <c r="D16" i="2"/>
  <c r="E16" i="2"/>
  <c r="F16" i="2"/>
  <c r="G16" i="2"/>
  <c r="H16" i="2"/>
  <c r="I16" i="2"/>
  <c r="AM24" i="1" l="1"/>
  <c r="J16" i="2"/>
  <c r="Z45" i="7"/>
  <c r="M45" i="7"/>
  <c r="AA30" i="7"/>
  <c r="AA34" i="7"/>
  <c r="AA36" i="7"/>
  <c r="AA38" i="7"/>
  <c r="AA40" i="7"/>
  <c r="AA28" i="7"/>
  <c r="N30" i="7"/>
  <c r="N32" i="7"/>
  <c r="N34" i="7"/>
  <c r="N36" i="7"/>
  <c r="N38" i="7"/>
  <c r="N40" i="7"/>
  <c r="N42" i="7"/>
  <c r="N28" i="7"/>
  <c r="M49" i="7" l="1"/>
  <c r="AC36" i="7"/>
  <c r="D45" i="7"/>
  <c r="E45" i="7"/>
  <c r="F45" i="7"/>
  <c r="G45" i="7"/>
  <c r="H45" i="7"/>
  <c r="I45" i="7"/>
  <c r="J45" i="7"/>
  <c r="K45" i="7"/>
  <c r="L45" i="7"/>
  <c r="C45" i="7"/>
  <c r="Y73" i="7" l="1"/>
  <c r="X73" i="7"/>
  <c r="W73" i="7"/>
  <c r="V73" i="7"/>
  <c r="U73" i="7"/>
  <c r="T73" i="7"/>
  <c r="S73" i="7"/>
  <c r="R73" i="7"/>
  <c r="Q73" i="7"/>
  <c r="P73" i="7"/>
  <c r="L73" i="7"/>
  <c r="K73" i="7"/>
  <c r="J73" i="7"/>
  <c r="I73" i="7"/>
  <c r="I77" i="7" s="1"/>
  <c r="H73" i="7"/>
  <c r="G73" i="7"/>
  <c r="F73" i="7"/>
  <c r="E73" i="7"/>
  <c r="E77" i="7" s="1"/>
  <c r="D73" i="7"/>
  <c r="C73" i="7"/>
  <c r="AA72" i="7"/>
  <c r="N72" i="7"/>
  <c r="AA70" i="7"/>
  <c r="N70" i="7"/>
  <c r="AA68" i="7"/>
  <c r="N68" i="7"/>
  <c r="AA66" i="7"/>
  <c r="N66" i="7"/>
  <c r="AA64" i="7"/>
  <c r="N64" i="7"/>
  <c r="AA60" i="7"/>
  <c r="N60" i="7"/>
  <c r="H77" i="7" l="1"/>
  <c r="L77" i="7"/>
  <c r="AC68" i="7"/>
  <c r="AC72" i="7"/>
  <c r="AC70" i="7"/>
  <c r="D77" i="7"/>
  <c r="AC64" i="7"/>
  <c r="AC66" i="7"/>
  <c r="AC60" i="7"/>
  <c r="F77" i="7"/>
  <c r="J77" i="7"/>
  <c r="C77" i="7"/>
  <c r="G77" i="7"/>
  <c r="K77" i="7"/>
  <c r="AC30" i="7" l="1"/>
  <c r="Y45" i="7" l="1"/>
  <c r="X45" i="7"/>
  <c r="W45" i="7"/>
  <c r="V45" i="7"/>
  <c r="U45" i="7"/>
  <c r="T45" i="7"/>
  <c r="S45" i="7"/>
  <c r="R45" i="7"/>
  <c r="Q45" i="7"/>
  <c r="P45" i="7"/>
  <c r="F49" i="7" l="1"/>
  <c r="J49" i="7"/>
  <c r="G49" i="7"/>
  <c r="C49" i="7"/>
  <c r="AC28" i="7"/>
  <c r="AC32" i="7"/>
  <c r="AC40" i="7"/>
  <c r="AC38" i="7"/>
  <c r="AC34" i="7"/>
  <c r="K49" i="7"/>
  <c r="D49" i="7"/>
  <c r="H49" i="7"/>
  <c r="E49" i="7"/>
  <c r="I49" i="7"/>
  <c r="L49" i="7"/>
  <c r="AC47" i="7" l="1"/>
  <c r="AC49" i="7"/>
  <c r="D23" i="2"/>
  <c r="E23" i="2"/>
  <c r="F23" i="2"/>
  <c r="G23" i="2"/>
  <c r="H23" i="2"/>
  <c r="I23" i="2"/>
  <c r="E49" i="2"/>
  <c r="F49" i="2"/>
  <c r="G49" i="2"/>
  <c r="H49" i="2"/>
  <c r="I49" i="2"/>
  <c r="E54" i="2"/>
  <c r="F54" i="2"/>
  <c r="G54" i="2"/>
  <c r="H54" i="2"/>
  <c r="I54" i="2"/>
  <c r="E58" i="2"/>
  <c r="F58" i="2"/>
  <c r="G58" i="2"/>
  <c r="H58" i="2"/>
  <c r="I58" i="2"/>
  <c r="E60" i="2"/>
  <c r="F60" i="2"/>
  <c r="G60" i="2"/>
  <c r="H60" i="2"/>
  <c r="I60" i="2"/>
  <c r="E64" i="2"/>
  <c r="F64" i="2"/>
  <c r="G64" i="2"/>
  <c r="H64" i="2"/>
  <c r="I64" i="2"/>
  <c r="E68" i="2"/>
  <c r="F68" i="2"/>
  <c r="G68" i="2"/>
  <c r="H68" i="2"/>
  <c r="I68" i="2"/>
  <c r="D68" i="2"/>
  <c r="D58" i="2"/>
  <c r="J68" i="2" l="1"/>
  <c r="J23" i="2"/>
  <c r="D64" i="2" l="1"/>
  <c r="D60" i="2"/>
  <c r="D54" i="2"/>
  <c r="J54" i="2" s="1"/>
  <c r="D49" i="2"/>
  <c r="J64" i="2" l="1"/>
  <c r="H77" i="2"/>
  <c r="L28" i="11" s="1"/>
  <c r="J58" i="2"/>
  <c r="F77" i="2"/>
  <c r="H28" i="11" s="1"/>
  <c r="G77" i="2"/>
  <c r="J28" i="11" s="1"/>
  <c r="I77" i="2"/>
  <c r="N28" i="11" s="1"/>
  <c r="J60" i="2"/>
  <c r="D77" i="2"/>
  <c r="D28" i="11" s="1"/>
  <c r="J49" i="2"/>
  <c r="E77" i="2"/>
  <c r="F28" i="11" s="1"/>
  <c r="D13" i="2"/>
  <c r="E13" i="2"/>
  <c r="F13" i="2"/>
  <c r="G13" i="2"/>
  <c r="H13" i="2"/>
  <c r="I13" i="2"/>
  <c r="E21" i="2"/>
  <c r="F21" i="2"/>
  <c r="G21" i="2"/>
  <c r="H21" i="2"/>
  <c r="I21" i="2"/>
  <c r="D21" i="2"/>
  <c r="E19" i="2"/>
  <c r="F19" i="2"/>
  <c r="G19" i="2"/>
  <c r="H19" i="2"/>
  <c r="I19" i="2"/>
  <c r="D19" i="2"/>
  <c r="E9" i="2"/>
  <c r="F9" i="2"/>
  <c r="G9" i="2"/>
  <c r="H9" i="2"/>
  <c r="I9" i="2"/>
  <c r="D9" i="2"/>
  <c r="AV7" i="1"/>
  <c r="AV8" i="1"/>
  <c r="AV9" i="1"/>
  <c r="AV10" i="1"/>
  <c r="AV11" i="1"/>
  <c r="AV12" i="1"/>
  <c r="AU13" i="1"/>
  <c r="AT13" i="1"/>
  <c r="AS13" i="1"/>
  <c r="AR13" i="1"/>
  <c r="AQ13" i="1"/>
  <c r="AP13" i="1"/>
  <c r="E34" i="11" l="1"/>
  <c r="E37" i="11"/>
  <c r="E35" i="11"/>
  <c r="E38" i="11"/>
  <c r="D27" i="12"/>
  <c r="E30" i="11"/>
  <c r="E31" i="11"/>
  <c r="E32" i="11"/>
  <c r="E36" i="11"/>
  <c r="E33" i="11"/>
  <c r="E39" i="11"/>
  <c r="G33" i="11"/>
  <c r="G39" i="11"/>
  <c r="G34" i="11"/>
  <c r="G37" i="11"/>
  <c r="G31" i="11"/>
  <c r="G35" i="11"/>
  <c r="G38" i="11"/>
  <c r="G30" i="11"/>
  <c r="G32" i="11"/>
  <c r="G36" i="11"/>
  <c r="F27" i="12"/>
  <c r="O34" i="11"/>
  <c r="O37" i="11"/>
  <c r="O30" i="11"/>
  <c r="O31" i="11"/>
  <c r="O35" i="11"/>
  <c r="O32" i="11"/>
  <c r="O38" i="11"/>
  <c r="O33" i="11"/>
  <c r="O36" i="11"/>
  <c r="O39" i="11"/>
  <c r="M31" i="11"/>
  <c r="L27" i="12"/>
  <c r="M30" i="11"/>
  <c r="M38" i="11"/>
  <c r="M36" i="11"/>
  <c r="M34" i="11"/>
  <c r="M33" i="11"/>
  <c r="M32" i="11"/>
  <c r="M35" i="11"/>
  <c r="M39" i="11"/>
  <c r="M37" i="11"/>
  <c r="H27" i="12"/>
  <c r="I32" i="11"/>
  <c r="I36" i="11"/>
  <c r="I33" i="11"/>
  <c r="I39" i="11"/>
  <c r="I34" i="11"/>
  <c r="I37" i="11"/>
  <c r="I30" i="11"/>
  <c r="I31" i="11"/>
  <c r="I35" i="11"/>
  <c r="I38" i="11"/>
  <c r="J27" i="12"/>
  <c r="K30" i="11"/>
  <c r="K31" i="11"/>
  <c r="K35" i="11"/>
  <c r="K38" i="11"/>
  <c r="K32" i="11"/>
  <c r="K36" i="11"/>
  <c r="K33" i="11"/>
  <c r="K39" i="11"/>
  <c r="K34" i="11"/>
  <c r="K37" i="11"/>
  <c r="N27" i="12"/>
  <c r="J19" i="2"/>
  <c r="J21" i="2"/>
  <c r="J77" i="2"/>
  <c r="J13" i="2"/>
  <c r="AV13" i="1"/>
  <c r="Q9" i="7"/>
  <c r="Q11" i="7"/>
  <c r="Q13" i="7"/>
  <c r="Q15" i="7"/>
  <c r="Q17" i="7"/>
  <c r="Q7" i="7"/>
  <c r="P37" i="11" l="1"/>
  <c r="P33" i="11"/>
  <c r="P39" i="11"/>
  <c r="P31" i="11"/>
  <c r="P38" i="11"/>
  <c r="P30" i="11"/>
  <c r="P32" i="11"/>
  <c r="P35" i="11"/>
  <c r="P36" i="11"/>
  <c r="P34" i="11"/>
  <c r="K37" i="12"/>
  <c r="K34" i="12"/>
  <c r="K29" i="12"/>
  <c r="K33" i="12"/>
  <c r="K35" i="12"/>
  <c r="K38" i="12"/>
  <c r="K30" i="12"/>
  <c r="K32" i="12"/>
  <c r="K31" i="12"/>
  <c r="K36" i="12"/>
  <c r="M36" i="12"/>
  <c r="M34" i="12"/>
  <c r="M29" i="12"/>
  <c r="M37" i="12"/>
  <c r="M31" i="12"/>
  <c r="M38" i="12"/>
  <c r="M33" i="12"/>
  <c r="M30" i="12"/>
  <c r="M35" i="12"/>
  <c r="M32" i="12"/>
  <c r="E36" i="12"/>
  <c r="E31" i="12"/>
  <c r="E30" i="12"/>
  <c r="E33" i="12"/>
  <c r="E38" i="12"/>
  <c r="E35" i="12"/>
  <c r="E32" i="12"/>
  <c r="E29" i="12"/>
  <c r="E37" i="12"/>
  <c r="E34" i="12"/>
  <c r="I37" i="12"/>
  <c r="I36" i="12"/>
  <c r="I30" i="12"/>
  <c r="I29" i="12"/>
  <c r="I35" i="12"/>
  <c r="I33" i="12"/>
  <c r="I34" i="12"/>
  <c r="I32" i="12"/>
  <c r="I38" i="12"/>
  <c r="I31" i="12"/>
  <c r="O32" i="12"/>
  <c r="O34" i="12"/>
  <c r="O36" i="12"/>
  <c r="O35" i="12"/>
  <c r="O33" i="12"/>
  <c r="O37" i="12"/>
  <c r="O30" i="12"/>
  <c r="O38" i="12"/>
  <c r="O31" i="12"/>
  <c r="O29" i="12"/>
  <c r="G36" i="12"/>
  <c r="G32" i="12"/>
  <c r="G37" i="12"/>
  <c r="G35" i="12"/>
  <c r="G33" i="12"/>
  <c r="G30" i="12"/>
  <c r="G38" i="12"/>
  <c r="G31" i="12"/>
  <c r="G29" i="12"/>
  <c r="G34" i="12"/>
  <c r="J9" i="2"/>
  <c r="P35" i="12" l="1"/>
  <c r="P34" i="12"/>
  <c r="P31" i="12"/>
  <c r="P37" i="12"/>
  <c r="P38" i="12"/>
  <c r="P36" i="12"/>
  <c r="P29" i="12"/>
  <c r="P33" i="12"/>
  <c r="P32" i="12"/>
  <c r="P30" i="12"/>
  <c r="AQ24" i="1"/>
  <c r="AS27" i="1" s="1"/>
  <c r="AR24" i="1"/>
  <c r="AT27" i="1" s="1"/>
  <c r="AS24" i="1"/>
  <c r="AU27" i="1" s="1"/>
  <c r="AT24" i="1"/>
  <c r="AV27" i="1" s="1"/>
  <c r="AU24" i="1"/>
  <c r="AW27" i="1" s="1"/>
  <c r="AP24" i="1"/>
  <c r="AR27" i="1" s="1"/>
  <c r="AV22" i="1"/>
  <c r="AV21" i="1"/>
  <c r="AV20" i="1"/>
  <c r="AV19" i="1"/>
  <c r="AV18" i="1"/>
  <c r="AV17" i="1"/>
  <c r="AV24" i="1" l="1"/>
  <c r="AX27" i="1" s="1"/>
  <c r="AX29" i="1" s="1"/>
  <c r="E31" i="2" l="1"/>
  <c r="F6" i="11" s="1"/>
  <c r="F6" i="12" s="1"/>
  <c r="F31" i="2"/>
  <c r="H6" i="11" s="1"/>
  <c r="H6" i="12" s="1"/>
  <c r="G31" i="2"/>
  <c r="J6" i="11" s="1"/>
  <c r="J6" i="12" s="1"/>
  <c r="H31" i="2"/>
  <c r="L6" i="11" s="1"/>
  <c r="L6" i="12" s="1"/>
  <c r="I31" i="2"/>
  <c r="D31" i="2"/>
  <c r="D6" i="11" s="1"/>
  <c r="D6" i="12" s="1"/>
  <c r="N6" i="11" l="1"/>
  <c r="N6" i="12"/>
  <c r="J31" i="2"/>
  <c r="O16" i="12" l="1"/>
  <c r="O11" i="12"/>
  <c r="O15" i="12"/>
  <c r="O10" i="12"/>
  <c r="O8" i="12"/>
  <c r="O12" i="12"/>
  <c r="O14" i="12"/>
  <c r="O9" i="12"/>
  <c r="O13" i="12"/>
  <c r="O17" i="12"/>
  <c r="K15" i="11"/>
  <c r="K11" i="11"/>
  <c r="K13" i="11"/>
  <c r="K12" i="11"/>
  <c r="K14" i="11"/>
  <c r="K10" i="11"/>
  <c r="K17" i="11"/>
  <c r="K9" i="11"/>
  <c r="K16" i="11"/>
  <c r="K8" i="11"/>
  <c r="O15" i="11"/>
  <c r="O11" i="11"/>
  <c r="O13" i="11"/>
  <c r="O16" i="11"/>
  <c r="O14" i="11"/>
  <c r="O10" i="11"/>
  <c r="O17" i="11"/>
  <c r="O9" i="11"/>
  <c r="O12" i="11"/>
  <c r="O8" i="11"/>
  <c r="K14" i="12"/>
  <c r="K17" i="12"/>
  <c r="K15" i="12"/>
  <c r="K12" i="12"/>
  <c r="K11" i="12"/>
  <c r="K8" i="12"/>
  <c r="K16" i="12"/>
  <c r="K9" i="12"/>
  <c r="K13" i="12"/>
  <c r="K10" i="12"/>
  <c r="G16" i="12"/>
  <c r="G15" i="12"/>
  <c r="G11" i="12"/>
  <c r="G8" i="12"/>
  <c r="G12" i="12"/>
  <c r="G14" i="12"/>
  <c r="G9" i="12"/>
  <c r="G13" i="12"/>
  <c r="G17" i="12"/>
  <c r="G10" i="12"/>
  <c r="I17" i="11"/>
  <c r="I13" i="11"/>
  <c r="I9" i="11"/>
  <c r="I11" i="11"/>
  <c r="I14" i="11"/>
  <c r="I16" i="11"/>
  <c r="I12" i="11"/>
  <c r="I8" i="11"/>
  <c r="I15" i="11"/>
  <c r="I10" i="11"/>
  <c r="M17" i="11"/>
  <c r="M13" i="11"/>
  <c r="M9" i="11"/>
  <c r="M14" i="11"/>
  <c r="M16" i="11"/>
  <c r="M12" i="11"/>
  <c r="M8" i="11"/>
  <c r="M15" i="11"/>
  <c r="M11" i="11"/>
  <c r="M10" i="11"/>
  <c r="G15" i="11"/>
  <c r="G11" i="11"/>
  <c r="G10" i="11"/>
  <c r="G17" i="11"/>
  <c r="G9" i="11"/>
  <c r="G16" i="11"/>
  <c r="G8" i="11"/>
  <c r="G14" i="11"/>
  <c r="G13" i="11"/>
  <c r="G12" i="11"/>
  <c r="I17" i="12"/>
  <c r="I11" i="12"/>
  <c r="I8" i="12"/>
  <c r="I15" i="12"/>
  <c r="I12" i="12"/>
  <c r="I16" i="12"/>
  <c r="I10" i="12"/>
  <c r="I14" i="12"/>
  <c r="I9" i="12"/>
  <c r="I13" i="12"/>
  <c r="M15" i="12"/>
  <c r="M10" i="12"/>
  <c r="M17" i="12"/>
  <c r="M11" i="12"/>
  <c r="M14" i="12"/>
  <c r="M13" i="12"/>
  <c r="M8" i="12"/>
  <c r="M12" i="12"/>
  <c r="M16" i="12"/>
  <c r="M9" i="12"/>
  <c r="E15" i="12"/>
  <c r="E14" i="12"/>
  <c r="E12" i="12"/>
  <c r="E16" i="12"/>
  <c r="E10" i="12"/>
  <c r="E9" i="12"/>
  <c r="E13" i="12"/>
  <c r="E17" i="12"/>
  <c r="E8" i="12"/>
  <c r="E11" i="12"/>
  <c r="E14" i="11"/>
  <c r="E10" i="11"/>
  <c r="E12" i="11"/>
  <c r="E17" i="11"/>
  <c r="E13" i="11"/>
  <c r="E9" i="11"/>
  <c r="E16" i="11"/>
  <c r="E15" i="11"/>
  <c r="E11" i="11"/>
  <c r="E8" i="11"/>
  <c r="P8" i="11" l="1"/>
  <c r="P10" i="11"/>
  <c r="P17" i="12"/>
  <c r="P16" i="12"/>
  <c r="P12" i="12"/>
  <c r="P9" i="11"/>
  <c r="R9" i="11" s="1"/>
  <c r="P11" i="11"/>
  <c r="P13" i="11"/>
  <c r="P15" i="11"/>
  <c r="P17" i="11"/>
  <c r="P11" i="12"/>
  <c r="P9" i="12"/>
  <c r="P14" i="11"/>
  <c r="P16" i="11"/>
  <c r="P12" i="11"/>
  <c r="P8" i="12"/>
  <c r="P10" i="12"/>
  <c r="P13" i="12"/>
  <c r="P14" i="12"/>
  <c r="P15" i="12"/>
</calcChain>
</file>

<file path=xl/sharedStrings.xml><?xml version="1.0" encoding="utf-8"?>
<sst xmlns="http://schemas.openxmlformats.org/spreadsheetml/2006/main" count="2323" uniqueCount="314">
  <si>
    <t>KALENDER PENDIDIKAN</t>
  </si>
  <si>
    <t>BULAN</t>
  </si>
  <si>
    <t>JULI</t>
  </si>
  <si>
    <t>AGUSTUS</t>
  </si>
  <si>
    <t>SEPTEMBER</t>
  </si>
  <si>
    <t>OKTOBER</t>
  </si>
  <si>
    <t>NOPEMBER</t>
  </si>
  <si>
    <t>DESEMBER</t>
  </si>
  <si>
    <t>TANGGAL</t>
  </si>
  <si>
    <t>GASAL</t>
  </si>
  <si>
    <t>THN</t>
  </si>
  <si>
    <t>LN</t>
  </si>
  <si>
    <t>RIF</t>
  </si>
  <si>
    <t>R</t>
  </si>
  <si>
    <t>LS</t>
  </si>
  <si>
    <t>JUMLAH</t>
  </si>
  <si>
    <t>HL</t>
  </si>
  <si>
    <t>HE</t>
  </si>
  <si>
    <t>GENAP</t>
  </si>
  <si>
    <t>JANUARI</t>
  </si>
  <si>
    <t>FEBRUARI</t>
  </si>
  <si>
    <t>MARET</t>
  </si>
  <si>
    <t>APRIL</t>
  </si>
  <si>
    <t>MEI</t>
  </si>
  <si>
    <t>JUNI</t>
  </si>
  <si>
    <t>JUMLAH SEMUA</t>
  </si>
  <si>
    <t>KET :</t>
  </si>
  <si>
    <t>PEMBAGIAN RAPORT</t>
  </si>
  <si>
    <t>LIBUR NASIONAL/CUTI BERSAMA</t>
  </si>
  <si>
    <t>LIBUR SEKOLAH</t>
  </si>
  <si>
    <t>Kepala,</t>
  </si>
  <si>
    <t>LIBUR AWAL RAMADHAN/ SEKITAR IDUL FITRI</t>
  </si>
  <si>
    <t>PENGISIAN RAPORT</t>
  </si>
  <si>
    <t>PR</t>
  </si>
  <si>
    <t>HK</t>
  </si>
  <si>
    <t>IS</t>
  </si>
  <si>
    <t>JUMLAH HARI MINGGU</t>
  </si>
  <si>
    <t>JUMLAH HARI LIBUR</t>
  </si>
  <si>
    <t>JUMLAH HARI ISTIMEWA</t>
  </si>
  <si>
    <t>JUMLAH HARI EFEKTIF</t>
  </si>
  <si>
    <t>JUMLAH HARI KESELURUHAN</t>
  </si>
  <si>
    <t>SMT</t>
  </si>
  <si>
    <t>HM</t>
  </si>
  <si>
    <t>DUDUNG, S.Pd.SD.</t>
  </si>
  <si>
    <t>NIP. 19711110 199307 1 001</t>
  </si>
  <si>
    <t>HB</t>
  </si>
  <si>
    <t>SENIN</t>
  </si>
  <si>
    <t>SELASA</t>
  </si>
  <si>
    <t>RABU</t>
  </si>
  <si>
    <t>KAMIS</t>
  </si>
  <si>
    <t>JUMAT</t>
  </si>
  <si>
    <t>SABTU</t>
  </si>
  <si>
    <t>KEGIATAN</t>
  </si>
  <si>
    <t>ANALISIS HARI BELAJAR EFEKTIF</t>
  </si>
  <si>
    <t>KALENDER PENDIDIKAN SEKOLAH DASAR</t>
  </si>
  <si>
    <t>HARI</t>
  </si>
  <si>
    <t>Pen. Agama</t>
  </si>
  <si>
    <t>PKn</t>
  </si>
  <si>
    <t>B. Indonesia</t>
  </si>
  <si>
    <t>Matematika</t>
  </si>
  <si>
    <t>IPA</t>
  </si>
  <si>
    <t>IPS</t>
  </si>
  <si>
    <t>PJOK</t>
  </si>
  <si>
    <t>B. Sunda</t>
  </si>
  <si>
    <t>B. Inggris</t>
  </si>
  <si>
    <t>PLH</t>
  </si>
  <si>
    <t>I</t>
  </si>
  <si>
    <t>II</t>
  </si>
  <si>
    <t>III</t>
  </si>
  <si>
    <t>IV</t>
  </si>
  <si>
    <t>V</t>
  </si>
  <si>
    <t>VI</t>
  </si>
  <si>
    <t>Guru PJOK</t>
  </si>
  <si>
    <t>KELAS IV</t>
  </si>
  <si>
    <t>KELAS V</t>
  </si>
  <si>
    <t>KELAS VI</t>
  </si>
  <si>
    <t>KELAS II</t>
  </si>
  <si>
    <t>KELAS III</t>
  </si>
  <si>
    <t>S</t>
  </si>
  <si>
    <t>K</t>
  </si>
  <si>
    <t>J</t>
  </si>
  <si>
    <t>PERINGATAN  HARI BESAR</t>
  </si>
  <si>
    <t>SBDP</t>
  </si>
  <si>
    <t>JUMLAH JAM PELAJARAN</t>
  </si>
  <si>
    <t>KELAS</t>
  </si>
  <si>
    <t>JML</t>
  </si>
  <si>
    <t>PEBRUARI</t>
  </si>
  <si>
    <t>MB</t>
  </si>
  <si>
    <t>Dudung</t>
  </si>
  <si>
    <t>Kartiman</t>
  </si>
  <si>
    <t>Juariah</t>
  </si>
  <si>
    <t>Nani</t>
  </si>
  <si>
    <t xml:space="preserve">Ati </t>
  </si>
  <si>
    <t>Lukman</t>
  </si>
  <si>
    <t>Inglan</t>
  </si>
  <si>
    <t>Muji</t>
  </si>
  <si>
    <t>Roni</t>
  </si>
  <si>
    <t>Rinda</t>
  </si>
  <si>
    <t>Jumlah</t>
  </si>
  <si>
    <t>WAJIB</t>
  </si>
  <si>
    <t>TAMBAHAN WAJIB</t>
  </si>
  <si>
    <t>Guru Kelaas</t>
  </si>
  <si>
    <t>Kelas I</t>
  </si>
  <si>
    <t>Kelas II</t>
  </si>
  <si>
    <t>Kelas III</t>
  </si>
  <si>
    <t>Kelas IV</t>
  </si>
  <si>
    <t>Kelas V</t>
  </si>
  <si>
    <t>Kelas VI</t>
  </si>
  <si>
    <t>Jumlah Total</t>
  </si>
  <si>
    <t>Jumlah Total Guru</t>
  </si>
  <si>
    <t>JUM'AT</t>
  </si>
  <si>
    <t>JAM KE</t>
  </si>
  <si>
    <t>WAKTU</t>
  </si>
  <si>
    <t>JADWAL PELAJARAN</t>
  </si>
  <si>
    <t>ISTIRAHAT</t>
  </si>
  <si>
    <t>PEMBIASAAN</t>
  </si>
  <si>
    <t>GURU KELAS</t>
  </si>
  <si>
    <t>P J O K</t>
  </si>
  <si>
    <t>UPACARA</t>
  </si>
  <si>
    <t>TAHUN PELAJARAN 2018-2019</t>
  </si>
  <si>
    <t>MAPEL PENDIDIKAN AGAMA ISLAM</t>
  </si>
  <si>
    <t>MAPEL PJOK</t>
  </si>
  <si>
    <t>PAI</t>
  </si>
  <si>
    <t xml:space="preserve">VI </t>
  </si>
  <si>
    <t xml:space="preserve">GURU KELAS </t>
  </si>
  <si>
    <t xml:space="preserve">KELAS I </t>
  </si>
  <si>
    <t>Guru Kelaas(24)+ B. Sunda (2)</t>
  </si>
  <si>
    <t>Guru PAI/ PABD</t>
  </si>
  <si>
    <t>PEMBAGIAN JAM PELAJARAN 7 Kls</t>
  </si>
  <si>
    <t>PEMBAGIAN JAM PELAJARAN 6 Kls</t>
  </si>
  <si>
    <t>Guru Kelaas(22)+ B. Sunda (2)</t>
  </si>
  <si>
    <t>B. Sunda + B. Inggris</t>
  </si>
  <si>
    <t>Guru Kelaas(24)+ B. Sunda (1)</t>
  </si>
  <si>
    <t>KURIKULUM KTSP 2006 DAN 2013</t>
  </si>
  <si>
    <t>b. Sunda</t>
  </si>
  <si>
    <t>Guru Kelaas &amp; B. Sunda</t>
  </si>
  <si>
    <t>Meli</t>
  </si>
  <si>
    <t xml:space="preserve">Kelas IV </t>
  </si>
  <si>
    <t>JUM'AT SEHAT</t>
  </si>
  <si>
    <t>07.00-07.10</t>
  </si>
  <si>
    <t>07.11-07.45</t>
  </si>
  <si>
    <t>07.46-08.20</t>
  </si>
  <si>
    <t>08.21-08.55</t>
  </si>
  <si>
    <t>08.56-09.330</t>
  </si>
  <si>
    <t>09.31-09.50</t>
  </si>
  <si>
    <t>09.51-10.25</t>
  </si>
  <si>
    <t>10.26-11.00</t>
  </si>
  <si>
    <t>11.01-11.35</t>
  </si>
  <si>
    <t>Fani</t>
  </si>
  <si>
    <t>Guru PAI, Mulok B. Sunda dan B. Inggris</t>
  </si>
  <si>
    <t>Guru PAI , Mate</t>
  </si>
  <si>
    <t>KEGIATAN PPDB DAN DAFTAR ULANG</t>
  </si>
  <si>
    <t>Kelas Ii</t>
  </si>
  <si>
    <t>Angga</t>
  </si>
  <si>
    <t>UPTD SEKOLAH DASAR NEGERI 1 SUKAMUKTI</t>
  </si>
  <si>
    <t xml:space="preserve">UPTD SD Negeri 1 Sukamukti </t>
  </si>
  <si>
    <t>PELAKSANAAN ASESSMEN NASIONAL</t>
  </si>
  <si>
    <t>AN</t>
  </si>
  <si>
    <t>Banjar, 01 Juli 2022</t>
  </si>
  <si>
    <t>Senin</t>
  </si>
  <si>
    <t>Selasa</t>
  </si>
  <si>
    <t>Rabu</t>
  </si>
  <si>
    <t>Kamis</t>
  </si>
  <si>
    <t>Jum'at</t>
  </si>
  <si>
    <t>Sabtu</t>
  </si>
  <si>
    <t>Minggu</t>
  </si>
  <si>
    <t xml:space="preserve">KALENDER PENDIDIKAN </t>
  </si>
  <si>
    <t>Semester 2</t>
  </si>
  <si>
    <t>Semester 1</t>
  </si>
  <si>
    <t>JUMLAH HARI EFEKTIF TAHUN</t>
  </si>
  <si>
    <t>PELAJARAN 2022-2023</t>
  </si>
  <si>
    <t>Kepala UPTD SDN 1 Sukamukti</t>
  </si>
  <si>
    <t>TAHUN PELAJARAN 2023 - 2024</t>
  </si>
  <si>
    <t>BULAN JULI 2023</t>
  </si>
  <si>
    <t>BULAN AGUSTUS  2023</t>
  </si>
  <si>
    <t>BULAN SEPTEMBER  2023</t>
  </si>
  <si>
    <t>BULAN OKTOBER 2023</t>
  </si>
  <si>
    <t>BULAN NOPEMBER 2023</t>
  </si>
  <si>
    <t>BULAN DESEMBER  2023</t>
  </si>
  <si>
    <t>BULAN JANUARI 2024</t>
  </si>
  <si>
    <t>BULAN PEBRUARI 2024</t>
  </si>
  <si>
    <t>BULAN MARET 2024</t>
  </si>
  <si>
    <t>BULAN APRIL 2024</t>
  </si>
  <si>
    <t>BULAN MEI  2024</t>
  </si>
  <si>
    <t>BULAN JUNI 2024</t>
  </si>
  <si>
    <t>KELAS II A</t>
  </si>
  <si>
    <t>KELAS II B</t>
  </si>
  <si>
    <t xml:space="preserve">RABU </t>
  </si>
  <si>
    <t>ANALISIS JUMLAH JAM PELAJARAN EPEKTIF</t>
  </si>
  <si>
    <t>MATA PELEJARAN</t>
  </si>
  <si>
    <t>NO</t>
  </si>
  <si>
    <t>JUMLAH JP EPEKTIF</t>
  </si>
  <si>
    <t>KELAS I</t>
  </si>
  <si>
    <t>Pendidikan Pancasila</t>
  </si>
  <si>
    <t>PAdBP</t>
  </si>
  <si>
    <t>Seni dan Budaya</t>
  </si>
  <si>
    <t xml:space="preserve"> B. Sunda</t>
  </si>
  <si>
    <t>PAIdBP/ PAdBP</t>
  </si>
  <si>
    <t>Bahasa Indonesia</t>
  </si>
  <si>
    <t>IPAS</t>
  </si>
  <si>
    <t>Seni dan Budaya/ SBDP</t>
  </si>
  <si>
    <t>Bahasa dan Sastra Sunda</t>
  </si>
  <si>
    <t>KELAS  . . . . .</t>
  </si>
  <si>
    <t>MATA PELAJARAN …...................................</t>
  </si>
  <si>
    <t>LAMPIRAN 3</t>
  </si>
  <si>
    <t>SAS</t>
  </si>
  <si>
    <t>PESANTREN KILAT/ PENUMBUHAN BUDI PEKERTI</t>
  </si>
  <si>
    <t>PBP</t>
  </si>
  <si>
    <t xml:space="preserve">MPLS DAN PENDIDIKAN KEPRAMUKAAN </t>
  </si>
  <si>
    <t>MASA TRANSISI PAUD-SD KHUSUS KELAS I</t>
  </si>
  <si>
    <t>09.56-10.30</t>
  </si>
  <si>
    <t>10.31-11.05</t>
  </si>
  <si>
    <t>11.06-11.40</t>
  </si>
  <si>
    <t>HARI SABTU/ MINGGU</t>
  </si>
  <si>
    <t>S/ M</t>
  </si>
  <si>
    <t>S/M</t>
  </si>
  <si>
    <t>HSM</t>
  </si>
  <si>
    <t xml:space="preserve"> - 1 Juli s.d. 11 Juli 2025 Libur Akhir Tahun Pelajaran 2024-2025 </t>
  </si>
  <si>
    <t xml:space="preserve"> - 14 Juli 2025 Awal Masuk Sekolah/ Daftar Ulang Murid Baru </t>
  </si>
  <si>
    <t>- 21 Juli s.d. 25 Juli  2025 Masa Transisi PAUD-SD Tahun 2025 / 2026 (Khusus Kelas I)</t>
  </si>
  <si>
    <t xml:space="preserve"> - 14 Agustus  2025 HUT Pramuka ke 64</t>
  </si>
  <si>
    <t xml:space="preserve"> - 17 Agustus  2025 HUT Kemerdekaan  Republik Indonesia ke 80</t>
  </si>
  <si>
    <t>- 05 September 2025 Libur Peringatan Maulid Nabi Muhammad SAW. 1447 H</t>
  </si>
  <si>
    <t>- 12 September 2025 Peringatan Maulid Nabi Muhammad SAW 1447 H di sekolah (Penumbuhan Budi Pekerti)</t>
  </si>
  <si>
    <t>- 25 Nopember Peringatan Hari Guru Nasional/ PGRI</t>
  </si>
  <si>
    <t xml:space="preserve"> - 15 Desember s.d. 23 Desember 2025 Pengolahan dan Pengisian Raport Semester 1 Tahun 2025 / 2026</t>
  </si>
  <si>
    <t xml:space="preserve"> - 24 Desember  2025 Pembagian Raport Semester 1 Tahun Pelajaran 2025 / 2026</t>
  </si>
  <si>
    <t>Banjar, 08 Juli 2025</t>
  </si>
  <si>
    <t xml:space="preserve"> SEMESTER I TAHUN PELAJARAN 2025 / 2026</t>
  </si>
  <si>
    <t>Banjar,  08 Juli 2025</t>
  </si>
  <si>
    <t>TAHUN PELAJARAN 2025 - 2026</t>
  </si>
  <si>
    <t>ASAJ</t>
  </si>
  <si>
    <t>ASESMEN SUMATIF AHIR JENJANG TERTULIS</t>
  </si>
  <si>
    <t>ASESMEN SUMATIF AHIR JENJANG PRAKTEK</t>
  </si>
  <si>
    <t>SAS  SEMESTER I/II TERTULIS</t>
  </si>
  <si>
    <t>SAS  SEMESTER I/II PRAKTEK</t>
  </si>
  <si>
    <t>SAS SMT II KHUSUS KELAS VI TERTULIS</t>
  </si>
  <si>
    <t>SAS SMT  II KHUSUS KELAS VI PRAKTEK</t>
  </si>
  <si>
    <t>- 22 September s.d.  25 September  2025 Perkiraan Pelaksanaan Asessmen Nasional</t>
  </si>
  <si>
    <t>- 8 Desember s.d. 12 Desember 2025 Perkiraan SAS Tertulis Semester 1 Tahun Pelajaran 2025 / 2026</t>
  </si>
  <si>
    <t>- 15 Desember s.d. 19 Desember 2025 Perkiraan SAS Praktek Semester 1 Tahun Pelajaran 2025 / 2026</t>
  </si>
  <si>
    <t xml:space="preserve">   (Titimangsa Raport Tanggal 24 Desember 2025)</t>
  </si>
  <si>
    <t xml:space="preserve"> - 25 Desember s.d. 26 Desember 2025 Libur dan Cuti Bersama Hari Natal </t>
  </si>
  <si>
    <t xml:space="preserve"> - 29 Desember s.d. 31 Desember 2025 Libur Akhir Semester 1 Tahun Pelajaran 2025 / 2026</t>
  </si>
  <si>
    <t xml:space="preserve"> SEMESTER II TAHUN PELAJARAN 2025 / 2026</t>
  </si>
  <si>
    <t>- 2 Januari s.d. 9 Januari 2026  Libur Akhir  Semester 1 Tahun Pelajaran 2025 / 2026</t>
  </si>
  <si>
    <t>- 12 Januari 2026 Awal masuk semester 2 Tahun Pelajaran 2025 / 2026</t>
  </si>
  <si>
    <t>-16 Januari 2026 Libur Peringatan Isra Mi'raj Nabi Muhammad S.A.W. 1447 H</t>
  </si>
  <si>
    <t>-19 Januari 2026 Peringatan Isra Mi'raj Nabi Muhammad S.A.W. 1447 H di sekolah (Penumbuhan Budi Pekerti)</t>
  </si>
  <si>
    <t>- 20 Pebruari 2026  Peringatan HUT Kota Banjar</t>
  </si>
  <si>
    <t>- 17 Pebruari 2026  Libur Tahun Baru Imlek</t>
  </si>
  <si>
    <t>- 20 Pebruari s.d.  23 Pebruari 2026   Perkiraan Libur Awal Bulan Ramadhan 1447 H</t>
  </si>
  <si>
    <t>- 09 Maret  s.d. 13 Maret 2026 Pelaksanaan Pesantren Kilat (Penumbuhan Budi Pekerti)</t>
  </si>
  <si>
    <t>- 16 Maret s.d. 27 Maret 2026  Libur sekitar Hari Raya Idul Fitri 1447 H</t>
  </si>
  <si>
    <t>- 03 April 2025 Libur Peringatan Wafat Yesus Kristus/ Isa Al Masih</t>
  </si>
  <si>
    <t>-20 April  s.d. 24 April 2026 Perkiraan Pelaksanaan SAS Tertulis  Semester 2 Kelas VI Tahun Pelajaran 2025 / 2026</t>
  </si>
  <si>
    <t>'-27  April  s.d. 30 April 2026 Perkiraan Pelaksanaan SAS Praktek  Semester 2 Kelas VI Tahun Pelajaran 2025 / 2026</t>
  </si>
  <si>
    <t xml:space="preserve">- 1 Mei 2026 Peringatan Hari Buruh </t>
  </si>
  <si>
    <t>- 18  Mei s.d. 22 Mei 2026  Pelaksanaan Asesmen Sumatif Akhir Jenjang Praktek  Tahun Pelajaran 2025 / 2026</t>
  </si>
  <si>
    <t>- 11  Mei s.d. 15 Mei 2026  Pelaksanaan Asesmen Sumatif Akhir Jenjang Tertulis  Tahun Pelajaran 2025 / 2026</t>
  </si>
  <si>
    <t>- 26 Mei s.d. 27 Mei  2026 Libur Hari Raya Idul Adha 1447 H</t>
  </si>
  <si>
    <t>-  1 Juni 2026 Peringatan Hari Lahirnya Pancasila</t>
  </si>
  <si>
    <t xml:space="preserve"> - 15 Juni s.d. 19 Juni 2026 Perkiraan Pelaksanaan SAS Praktek Semester 2 Tahun Pelajaran 2025 / 2026</t>
  </si>
  <si>
    <t xml:space="preserve"> - 08 Juni s.d. 12 Juni 2026 Perkiraan Pelaksanaan SAS Tertulis Semester 2 Tahun Pelajaran 2025 / 2026</t>
  </si>
  <si>
    <t xml:space="preserve"> - 22 Juni s.d. 25 Juni 2026 Pengolahan dan Pengisian Raport Semester 2 Tahun Pelajaran 2025 / 2026</t>
  </si>
  <si>
    <t>- 16 Juni 2026 Libur Tahun Baru Islam 1448 H</t>
  </si>
  <si>
    <t>'- 16 Juni 2026 Libur Tahun Baru Islam 1448 H</t>
  </si>
  <si>
    <t xml:space="preserve">- 26 Juni 2026 Pelaksanaan Pembagian Raport Semester 2 Tahun Pelajaran 2025 / 2026 </t>
  </si>
  <si>
    <t xml:space="preserve"> (Titimangsa Raport Tanggal 26 Juni 2026)</t>
  </si>
  <si>
    <t>- 29 Juni s.d. 30 Juni 2026 Libur Akhir  Semester 2 / Libur Akhir Tahun  Pelajaran 2025 / 2026</t>
  </si>
  <si>
    <t>KELAS I A</t>
  </si>
  <si>
    <t>06.31-07.05</t>
  </si>
  <si>
    <t>07.06-07.40</t>
  </si>
  <si>
    <t>07.41-08.15</t>
  </si>
  <si>
    <t>08.16-08.50</t>
  </si>
  <si>
    <t>08.51-09.25</t>
  </si>
  <si>
    <t>09.26-09.55</t>
  </si>
  <si>
    <t>11.41-12.30</t>
  </si>
  <si>
    <t>12.31-13.05</t>
  </si>
  <si>
    <t>KELAS I B</t>
  </si>
  <si>
    <t>TAHUN PELAJARAN 2025-2026</t>
  </si>
  <si>
    <t xml:space="preserve">KELAS III </t>
  </si>
  <si>
    <t>13.06-13.40</t>
  </si>
  <si>
    <t>13.41-14.15</t>
  </si>
  <si>
    <t>I P A S</t>
  </si>
  <si>
    <t>KELAS IV A</t>
  </si>
  <si>
    <t>KELAS IV B</t>
  </si>
  <si>
    <t>I A</t>
  </si>
  <si>
    <t>I B</t>
  </si>
  <si>
    <t>IV A</t>
  </si>
  <si>
    <t>IV B</t>
  </si>
  <si>
    <t>PJP PAI</t>
  </si>
  <si>
    <t>JADWAL PELAJARAN DENGAN P5 BLOK DAN KURANGI 2 JP ( KELAS 3,4,5,6)</t>
  </si>
  <si>
    <t>PELAKSANAAN P 5</t>
  </si>
  <si>
    <t>P 5</t>
  </si>
  <si>
    <t xml:space="preserve">- 1 Januari 2026 libur Tahun Baru  </t>
  </si>
  <si>
    <t>TAHUN PELAJARAN 2025-2026 SEMESTER 2</t>
  </si>
  <si>
    <t>TAHUN PELAJARAN 2025-2026 SEMESTER 1</t>
  </si>
  <si>
    <t>KELAS . . . .</t>
  </si>
  <si>
    <t>HARI PERTAMA MASUK  DAN DAFTAR ULANG</t>
  </si>
  <si>
    <t xml:space="preserve"> - 14 Juli s.d. 18 Juli 2025  Masa Pengenalan Lingkungan Sekolah dan Pendidikan Kepramukaan Tahun 2025-2026  </t>
  </si>
  <si>
    <t>PELAKSANAAN  PEMBELAJARAN KOKURIKULER</t>
  </si>
  <si>
    <t>P K</t>
  </si>
  <si>
    <t>11.41-12.10</t>
  </si>
  <si>
    <t>12.11-12.45</t>
  </si>
  <si>
    <t>12.46-13.20</t>
  </si>
  <si>
    <t>13.21-14.05</t>
  </si>
  <si>
    <t xml:space="preserve"> - 25 Agustus S.D. 29 Agustus  2025 Pelaksanaan Pembelajaran  Kokurikuler</t>
  </si>
  <si>
    <t xml:space="preserve"> - 27 Oktober S.D. 31 Oktober  2025 Pelaksanaan Pembelajaran  Kokurikuler</t>
  </si>
  <si>
    <t>- 2 Desember s.d. 5 Desember 2025 Pelaksanaan Pembelajaran  Kokurikuler</t>
  </si>
  <si>
    <t>- 24 Pebruari s.d.  27 Pebruari 2026  Pelaksanaan Pembelajaran  Kokurikuler</t>
  </si>
  <si>
    <t>-13 April  s.d. 17 April 2026 Pelaksanaan Pembelajaran  Kokurikuler</t>
  </si>
  <si>
    <t xml:space="preserve"> - 02 Juni s.d. 05 Juni  Pelaksanaan Pembelajaran  Kokurikuler</t>
  </si>
  <si>
    <t xml:space="preserve">K K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</si>
</sst>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6"/>
      <color theme="1"/>
      <name val="Times New Roman"/>
      <family val="1"/>
    </font>
    <font>
      <b/>
      <sz val="9"/>
      <name val="Calibri"/>
      <family val="2"/>
      <scheme val="minor"/>
    </font>
    <font>
      <b/>
      <sz val="14"/>
      <color theme="1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slantDashDot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13" fillId="0" borderId="0" xfId="0" applyFont="1"/>
    <xf numFmtId="0" fontId="12" fillId="0" borderId="0" xfId="0" applyFont="1" applyAlignment="1">
      <alignment horizontal="center"/>
    </xf>
    <xf numFmtId="0" fontId="14" fillId="0" borderId="1" xfId="0" applyFont="1" applyBorder="1"/>
    <xf numFmtId="0" fontId="14" fillId="12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4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5" borderId="2" xfId="0" applyFont="1" applyFill="1" applyBorder="1" applyAlignment="1">
      <alignment horizontal="center"/>
    </xf>
    <xf numFmtId="0" fontId="16" fillId="12" borderId="1" xfId="0" applyFont="1" applyFill="1" applyBorder="1"/>
    <xf numFmtId="0" fontId="16" fillId="9" borderId="1" xfId="0" applyFont="1" applyFill="1" applyBorder="1"/>
    <xf numFmtId="0" fontId="16" fillId="5" borderId="1" xfId="0" applyFont="1" applyFill="1" applyBorder="1"/>
    <xf numFmtId="0" fontId="16" fillId="11" borderId="1" xfId="0" applyFont="1" applyFill="1" applyBorder="1"/>
    <xf numFmtId="0" fontId="16" fillId="2" borderId="1" xfId="0" applyFont="1" applyFill="1" applyBorder="1"/>
    <xf numFmtId="0" fontId="16" fillId="18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15" borderId="1" xfId="0" applyFont="1" applyFill="1" applyBorder="1"/>
    <xf numFmtId="0" fontId="16" fillId="16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6" fillId="0" borderId="0" xfId="0" applyFont="1"/>
    <xf numFmtId="0" fontId="14" fillId="17" borderId="1" xfId="0" applyFont="1" applyFill="1" applyBorder="1" applyAlignment="1">
      <alignment horizontal="center"/>
    </xf>
    <xf numFmtId="0" fontId="16" fillId="13" borderId="1" xfId="0" applyFont="1" applyFill="1" applyBorder="1" applyAlignment="1">
      <alignment horizontal="center"/>
    </xf>
    <xf numFmtId="0" fontId="16" fillId="17" borderId="1" xfId="0" applyFont="1" applyFill="1" applyBorder="1"/>
    <xf numFmtId="0" fontId="16" fillId="13" borderId="3" xfId="0" applyFont="1" applyFill="1" applyBorder="1" applyAlignment="1">
      <alignment horizontal="center"/>
    </xf>
    <xf numFmtId="0" fontId="10" fillId="0" borderId="0" xfId="0" applyFont="1"/>
    <xf numFmtId="0" fontId="10" fillId="0" borderId="1" xfId="0" applyFont="1" applyBorder="1"/>
    <xf numFmtId="0" fontId="1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1" fillId="0" borderId="1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vertical="top"/>
    </xf>
    <xf numFmtId="0" fontId="14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6" fillId="0" borderId="1" xfId="0" applyFont="1" applyBorder="1"/>
    <xf numFmtId="0" fontId="16" fillId="19" borderId="1" xfId="0" applyFont="1" applyFill="1" applyBorder="1" applyAlignment="1">
      <alignment horizontal="center"/>
    </xf>
    <xf numFmtId="0" fontId="0" fillId="0" borderId="1" xfId="0" applyBorder="1"/>
    <xf numFmtId="0" fontId="11" fillId="0" borderId="0" xfId="0" quotePrefix="1" applyFont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9" fillId="0" borderId="1" xfId="0" applyFont="1" applyBorder="1"/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 textRotation="180"/>
    </xf>
    <xf numFmtId="18" fontId="18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8" fillId="0" borderId="0" xfId="0" applyFont="1" applyAlignment="1">
      <alignment horizontal="center"/>
    </xf>
    <xf numFmtId="0" fontId="22" fillId="0" borderId="1" xfId="0" applyFont="1" applyBorder="1"/>
    <xf numFmtId="0" fontId="11" fillId="0" borderId="1" xfId="0" applyFont="1" applyBorder="1" applyAlignment="1">
      <alignment horizontal="center" vertical="center" textRotation="180"/>
    </xf>
    <xf numFmtId="0" fontId="24" fillId="3" borderId="1" xfId="0" applyFont="1" applyFill="1" applyBorder="1" applyAlignment="1">
      <alignment horizontal="center" textRotation="90"/>
    </xf>
    <xf numFmtId="0" fontId="24" fillId="2" borderId="1" xfId="0" applyFont="1" applyFill="1" applyBorder="1" applyAlignment="1">
      <alignment horizontal="center" textRotation="90"/>
    </xf>
    <xf numFmtId="0" fontId="23" fillId="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3" fillId="13" borderId="13" xfId="0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13" borderId="6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3" fillId="3" borderId="18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21" borderId="18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4" fillId="0" borderId="0" xfId="0" applyFont="1"/>
    <xf numFmtId="0" fontId="24" fillId="13" borderId="1" xfId="0" applyFont="1" applyFill="1" applyBorder="1" applyAlignment="1">
      <alignment horizontal="center" textRotation="90"/>
    </xf>
    <xf numFmtId="0" fontId="24" fillId="13" borderId="12" xfId="0" applyFont="1" applyFill="1" applyBorder="1" applyAlignment="1">
      <alignment horizontal="center" vertical="center"/>
    </xf>
    <xf numFmtId="0" fontId="24" fillId="13" borderId="14" xfId="0" applyFont="1" applyFill="1" applyBorder="1" applyAlignment="1">
      <alignment horizontal="center" vertical="center"/>
    </xf>
    <xf numFmtId="0" fontId="24" fillId="13" borderId="13" xfId="0" applyFont="1" applyFill="1" applyBorder="1" applyAlignment="1">
      <alignment horizontal="center" vertical="center"/>
    </xf>
    <xf numFmtId="0" fontId="25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7" fillId="0" borderId="0" xfId="0" applyFont="1"/>
    <xf numFmtId="0" fontId="16" fillId="2" borderId="2" xfId="0" applyFont="1" applyFill="1" applyBorder="1" applyAlignment="1">
      <alignment horizontal="center"/>
    </xf>
    <xf numFmtId="0" fontId="28" fillId="0" borderId="5" xfId="0" quotePrefix="1" applyFont="1" applyBorder="1" applyAlignment="1">
      <alignment horizontal="left" vertical="center" wrapText="1"/>
    </xf>
    <xf numFmtId="0" fontId="28" fillId="0" borderId="8" xfId="0" quotePrefix="1" applyFont="1" applyBorder="1" applyAlignment="1">
      <alignment horizontal="left" vertical="center" wrapText="1"/>
    </xf>
    <xf numFmtId="0" fontId="19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13" borderId="0" xfId="0" applyFont="1" applyFill="1"/>
    <xf numFmtId="0" fontId="30" fillId="22" borderId="1" xfId="0" applyFont="1" applyFill="1" applyBorder="1" applyAlignment="1">
      <alignment horizontal="center"/>
    </xf>
    <xf numFmtId="0" fontId="0" fillId="0" borderId="19" xfId="0" applyBorder="1"/>
    <xf numFmtId="0" fontId="0" fillId="0" borderId="18" xfId="0" applyBorder="1"/>
    <xf numFmtId="0" fontId="16" fillId="10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6" fillId="23" borderId="1" xfId="0" applyFont="1" applyFill="1" applyBorder="1" applyAlignment="1">
      <alignment horizontal="center"/>
    </xf>
    <xf numFmtId="0" fontId="0" fillId="0" borderId="0" xfId="0" quotePrefix="1"/>
    <xf numFmtId="0" fontId="19" fillId="17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17" borderId="1" xfId="0" applyFont="1" applyFill="1" applyBorder="1"/>
    <xf numFmtId="0" fontId="18" fillId="13" borderId="0" xfId="0" applyFont="1" applyFill="1" applyAlignment="1">
      <alignment horizontal="center"/>
    </xf>
    <xf numFmtId="0" fontId="18" fillId="22" borderId="0" xfId="0" applyFont="1" applyFill="1"/>
    <xf numFmtId="0" fontId="18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6" fillId="0" borderId="8" xfId="0" quotePrefix="1" applyFont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/>
    </xf>
    <xf numFmtId="0" fontId="18" fillId="0" borderId="17" xfId="0" applyFont="1" applyBorder="1" applyAlignment="1">
      <alignment horizontal="center" vertical="top"/>
    </xf>
    <xf numFmtId="0" fontId="1" fillId="0" borderId="5" xfId="0" quotePrefix="1" applyFont="1" applyBorder="1" applyAlignment="1">
      <alignment horizontal="left" vertical="center" wrapText="1"/>
    </xf>
    <xf numFmtId="0" fontId="19" fillId="16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23" fillId="13" borderId="1" xfId="0" applyFont="1" applyFill="1" applyBorder="1" applyAlignment="1">
      <alignment horizontal="center" vertical="center"/>
    </xf>
    <xf numFmtId="0" fontId="24" fillId="13" borderId="17" xfId="0" applyFont="1" applyFill="1" applyBorder="1" applyAlignment="1">
      <alignment horizontal="center" vertical="center" wrapText="1"/>
    </xf>
    <xf numFmtId="0" fontId="24" fillId="13" borderId="1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/>
    </xf>
    <xf numFmtId="0" fontId="11" fillId="17" borderId="12" xfId="0" applyFont="1" applyFill="1" applyBorder="1" applyAlignment="1">
      <alignment horizontal="center" vertical="center"/>
    </xf>
    <xf numFmtId="0" fontId="11" fillId="17" borderId="13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 textRotation="90"/>
    </xf>
    <xf numFmtId="0" fontId="15" fillId="7" borderId="1" xfId="0" applyFont="1" applyFill="1" applyBorder="1" applyAlignment="1">
      <alignment horizontal="center" vertical="center" textRotation="90"/>
    </xf>
    <xf numFmtId="0" fontId="14" fillId="14" borderId="1" xfId="0" applyFon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0" fillId="10" borderId="12" xfId="0" applyFill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 wrapText="1"/>
    </xf>
    <xf numFmtId="0" fontId="0" fillId="15" borderId="12" xfId="0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5" xfId="0" quotePrefix="1" applyFont="1" applyBorder="1" applyAlignment="1">
      <alignment horizontal="left" vertical="center" wrapText="1"/>
    </xf>
    <xf numFmtId="0" fontId="4" fillId="0" borderId="8" xfId="0" quotePrefix="1" applyFont="1" applyBorder="1" applyAlignment="1">
      <alignment horizontal="left" vertical="center" wrapText="1"/>
    </xf>
    <xf numFmtId="0" fontId="28" fillId="0" borderId="5" xfId="0" quotePrefix="1" applyFont="1" applyBorder="1" applyAlignment="1">
      <alignment horizontal="left" vertical="center" wrapText="1"/>
    </xf>
    <xf numFmtId="0" fontId="28" fillId="0" borderId="8" xfId="0" quotePrefix="1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28" fillId="0" borderId="6" xfId="0" quotePrefix="1" applyFont="1" applyBorder="1" applyAlignment="1">
      <alignment horizontal="left" vertical="center" wrapText="1"/>
    </xf>
    <xf numFmtId="0" fontId="28" fillId="0" borderId="7" xfId="0" quotePrefix="1" applyFont="1" applyBorder="1" applyAlignment="1">
      <alignment horizontal="left" vertical="center" wrapText="1"/>
    </xf>
    <xf numFmtId="0" fontId="28" fillId="0" borderId="9" xfId="0" quotePrefix="1" applyFont="1" applyBorder="1" applyAlignment="1">
      <alignment horizontal="left" vertical="center" wrapText="1"/>
    </xf>
    <xf numFmtId="0" fontId="28" fillId="0" borderId="11" xfId="0" quotePrefix="1" applyFont="1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left" vertical="center" wrapText="1"/>
    </xf>
    <xf numFmtId="0" fontId="6" fillId="0" borderId="8" xfId="0" quotePrefix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textRotation="90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5" fillId="0" borderId="6" xfId="0" quotePrefix="1" applyFont="1" applyBorder="1" applyAlignment="1">
      <alignment horizontal="left" vertical="center" wrapText="1"/>
    </xf>
    <xf numFmtId="0" fontId="6" fillId="0" borderId="7" xfId="0" quotePrefix="1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20" fillId="0" borderId="5" xfId="0" quotePrefix="1" applyFont="1" applyBorder="1" applyAlignment="1">
      <alignment horizontal="left" vertical="center" wrapText="1"/>
    </xf>
    <xf numFmtId="0" fontId="20" fillId="0" borderId="8" xfId="0" quotePrefix="1" applyFont="1" applyBorder="1" applyAlignment="1">
      <alignment horizontal="left" vertical="center" wrapText="1"/>
    </xf>
    <xf numFmtId="0" fontId="1" fillId="0" borderId="5" xfId="0" quotePrefix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6" xfId="0" quotePrefix="1" applyFont="1" applyBorder="1" applyAlignment="1">
      <alignment horizontal="left" vertical="center" wrapText="1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textRotation="180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3" fillId="0" borderId="5" xfId="0" quotePrefix="1" applyFont="1" applyBorder="1" applyAlignment="1">
      <alignment horizontal="left" vertical="center" wrapText="1"/>
    </xf>
    <xf numFmtId="0" fontId="2" fillId="0" borderId="5" xfId="0" quotePrefix="1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left" vertical="center" wrapText="1"/>
    </xf>
    <xf numFmtId="0" fontId="4" fillId="0" borderId="9" xfId="0" quotePrefix="1" applyFont="1" applyBorder="1" applyAlignment="1">
      <alignment horizontal="left" vertical="center" wrapText="1"/>
    </xf>
    <xf numFmtId="0" fontId="6" fillId="0" borderId="11" xfId="0" quotePrefix="1" applyFont="1" applyBorder="1" applyAlignment="1">
      <alignment horizontal="left" vertical="center" wrapText="1"/>
    </xf>
    <xf numFmtId="0" fontId="3" fillId="0" borderId="8" xfId="0" quotePrefix="1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textRotation="180"/>
    </xf>
    <xf numFmtId="0" fontId="11" fillId="0" borderId="0" xfId="0" applyFont="1" applyAlignment="1">
      <alignment horizontal="center" vertical="center"/>
    </xf>
    <xf numFmtId="0" fontId="11" fillId="0" borderId="17" xfId="0" applyFont="1" applyBorder="1" applyAlignment="1">
      <alignment horizontal="center" vertical="center" textRotation="180"/>
    </xf>
    <xf numFmtId="0" fontId="11" fillId="0" borderId="18" xfId="0" applyFont="1" applyBorder="1" applyAlignment="1">
      <alignment horizontal="center" vertical="center" textRotation="180"/>
    </xf>
    <xf numFmtId="0" fontId="11" fillId="0" borderId="0" xfId="0" applyFont="1" applyAlignment="1">
      <alignment horizontal="center" vertical="center" textRotation="180"/>
    </xf>
    <xf numFmtId="0" fontId="17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top"/>
    </xf>
    <xf numFmtId="0" fontId="29" fillId="0" borderId="18" xfId="0" applyFont="1" applyBorder="1" applyAlignment="1">
      <alignment horizontal="center" vertical="top"/>
    </xf>
    <xf numFmtId="0" fontId="31" fillId="2" borderId="0" xfId="0" applyFont="1" applyFill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99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15E5-8860-4A80-A1F9-DB2331271F3C}">
  <dimension ref="B1:X55"/>
  <sheetViews>
    <sheetView workbookViewId="0">
      <selection activeCell="F9" sqref="F9"/>
    </sheetView>
  </sheetViews>
  <sheetFormatPr defaultRowHeight="14.4" x14ac:dyDescent="0.3"/>
  <cols>
    <col min="1" max="1" width="0.6640625" customWidth="1"/>
    <col min="2" max="16" width="4.109375" customWidth="1"/>
    <col min="17" max="17" width="2.44140625" customWidth="1"/>
    <col min="18" max="24" width="4.109375" customWidth="1"/>
    <col min="25" max="25" width="1.5546875" customWidth="1"/>
    <col min="26" max="68" width="3.33203125" customWidth="1"/>
  </cols>
  <sheetData>
    <row r="1" spans="2:24" x14ac:dyDescent="0.3">
      <c r="B1" s="139" t="s">
        <v>166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</row>
    <row r="2" spans="2:24" x14ac:dyDescent="0.3">
      <c r="B2" s="139" t="s">
        <v>154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</row>
    <row r="3" spans="2:24" x14ac:dyDescent="0.3">
      <c r="B3" s="139" t="s">
        <v>172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</row>
    <row r="4" spans="2:24" ht="8.4" customHeight="1" x14ac:dyDescent="0.3"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2:24" ht="16.8" customHeight="1" x14ac:dyDescent="0.3">
      <c r="B5" s="138" t="s">
        <v>173</v>
      </c>
      <c r="C5" s="138"/>
      <c r="D5" s="138"/>
      <c r="E5" s="138"/>
      <c r="F5" s="138"/>
      <c r="G5" s="138"/>
      <c r="H5" s="138"/>
      <c r="I5" s="108"/>
      <c r="J5" s="138" t="s">
        <v>174</v>
      </c>
      <c r="K5" s="138"/>
      <c r="L5" s="138"/>
      <c r="M5" s="138"/>
      <c r="N5" s="138"/>
      <c r="O5" s="138"/>
      <c r="P5" s="138"/>
      <c r="Q5" s="108"/>
      <c r="R5" s="138" t="s">
        <v>175</v>
      </c>
      <c r="S5" s="138"/>
      <c r="T5" s="138"/>
      <c r="U5" s="138"/>
      <c r="V5" s="138"/>
      <c r="W5" s="138"/>
      <c r="X5" s="138"/>
    </row>
    <row r="6" spans="2:24" ht="36" customHeight="1" x14ac:dyDescent="0.3">
      <c r="B6" s="78" t="s">
        <v>165</v>
      </c>
      <c r="C6" s="79" t="s">
        <v>159</v>
      </c>
      <c r="D6" s="79" t="s">
        <v>160</v>
      </c>
      <c r="E6" s="79" t="s">
        <v>161</v>
      </c>
      <c r="F6" s="79" t="s">
        <v>162</v>
      </c>
      <c r="G6" s="79" t="s">
        <v>163</v>
      </c>
      <c r="H6" s="79" t="s">
        <v>164</v>
      </c>
      <c r="I6" s="60"/>
      <c r="J6" s="78" t="s">
        <v>165</v>
      </c>
      <c r="K6" s="79" t="s">
        <v>159</v>
      </c>
      <c r="L6" s="79" t="s">
        <v>160</v>
      </c>
      <c r="M6" s="79" t="s">
        <v>161</v>
      </c>
      <c r="N6" s="79" t="s">
        <v>162</v>
      </c>
      <c r="O6" s="79" t="s">
        <v>163</v>
      </c>
      <c r="P6" s="79" t="s">
        <v>164</v>
      </c>
      <c r="Q6" s="60"/>
      <c r="R6" s="78" t="s">
        <v>165</v>
      </c>
      <c r="S6" s="79" t="s">
        <v>159</v>
      </c>
      <c r="T6" s="79" t="s">
        <v>160</v>
      </c>
      <c r="U6" s="79" t="s">
        <v>161</v>
      </c>
      <c r="V6" s="79" t="s">
        <v>162</v>
      </c>
      <c r="W6" s="79" t="s">
        <v>163</v>
      </c>
      <c r="X6" s="79" t="s">
        <v>164</v>
      </c>
    </row>
    <row r="7" spans="2:24" ht="15" customHeight="1" x14ac:dyDescent="0.3">
      <c r="B7" s="86"/>
      <c r="C7" s="86"/>
      <c r="D7" s="86"/>
      <c r="E7" s="86"/>
      <c r="F7" s="88"/>
      <c r="G7" s="98">
        <v>1</v>
      </c>
      <c r="H7" s="98">
        <v>2</v>
      </c>
      <c r="I7" s="109"/>
      <c r="J7" s="88"/>
      <c r="K7" s="81">
        <v>1</v>
      </c>
      <c r="L7" s="81">
        <v>2</v>
      </c>
      <c r="M7" s="81">
        <v>3</v>
      </c>
      <c r="N7" s="81">
        <v>4</v>
      </c>
      <c r="O7" s="81">
        <v>5</v>
      </c>
      <c r="P7" s="81">
        <v>6</v>
      </c>
      <c r="Q7" s="109"/>
      <c r="R7" s="86"/>
      <c r="S7" s="86"/>
      <c r="T7" s="86"/>
      <c r="U7" s="88"/>
      <c r="V7" s="81">
        <v>1</v>
      </c>
      <c r="W7" s="81">
        <v>2</v>
      </c>
      <c r="X7" s="81">
        <v>3</v>
      </c>
    </row>
    <row r="8" spans="2:24" ht="15" customHeight="1" x14ac:dyDescent="0.3">
      <c r="B8" s="80">
        <v>3</v>
      </c>
      <c r="C8" s="98">
        <v>4</v>
      </c>
      <c r="D8" s="98">
        <v>5</v>
      </c>
      <c r="E8" s="98">
        <v>6</v>
      </c>
      <c r="F8" s="98">
        <v>7</v>
      </c>
      <c r="G8" s="98">
        <v>8</v>
      </c>
      <c r="H8" s="98">
        <v>9</v>
      </c>
      <c r="I8" s="109"/>
      <c r="J8" s="80">
        <v>7</v>
      </c>
      <c r="K8" s="81">
        <v>8</v>
      </c>
      <c r="L8" s="81">
        <v>9</v>
      </c>
      <c r="M8" s="81">
        <v>10</v>
      </c>
      <c r="N8" s="81">
        <v>11</v>
      </c>
      <c r="O8" s="81">
        <v>12</v>
      </c>
      <c r="P8" s="82">
        <v>13</v>
      </c>
      <c r="Q8" s="109"/>
      <c r="R8" s="80">
        <v>4</v>
      </c>
      <c r="S8" s="81">
        <v>5</v>
      </c>
      <c r="T8" s="81">
        <v>6</v>
      </c>
      <c r="U8" s="81">
        <v>7</v>
      </c>
      <c r="V8" s="81">
        <v>8</v>
      </c>
      <c r="W8" s="81">
        <v>9</v>
      </c>
      <c r="X8" s="81">
        <v>10</v>
      </c>
    </row>
    <row r="9" spans="2:24" ht="15" customHeight="1" x14ac:dyDescent="0.3">
      <c r="B9" s="80">
        <v>10</v>
      </c>
      <c r="C9" s="98">
        <v>11</v>
      </c>
      <c r="D9" s="98">
        <v>12</v>
      </c>
      <c r="E9" s="98">
        <v>13</v>
      </c>
      <c r="F9" s="98">
        <v>14</v>
      </c>
      <c r="G9" s="98">
        <v>15</v>
      </c>
      <c r="H9" s="98">
        <v>16</v>
      </c>
      <c r="I9" s="109"/>
      <c r="J9" s="80">
        <v>14</v>
      </c>
      <c r="K9" s="81">
        <v>15</v>
      </c>
      <c r="L9" s="81">
        <v>16</v>
      </c>
      <c r="M9" s="80">
        <v>17</v>
      </c>
      <c r="N9" s="81">
        <v>18</v>
      </c>
      <c r="O9" s="81">
        <v>19</v>
      </c>
      <c r="P9" s="81">
        <v>20</v>
      </c>
      <c r="Q9" s="109"/>
      <c r="R9" s="80">
        <v>11</v>
      </c>
      <c r="S9" s="81">
        <v>12</v>
      </c>
      <c r="T9" s="81">
        <v>13</v>
      </c>
      <c r="U9" s="81">
        <v>14</v>
      </c>
      <c r="V9" s="81">
        <v>15</v>
      </c>
      <c r="W9" s="81">
        <v>16</v>
      </c>
      <c r="X9" s="81">
        <v>17</v>
      </c>
    </row>
    <row r="10" spans="2:24" ht="15" customHeight="1" x14ac:dyDescent="0.3">
      <c r="B10" s="80">
        <v>17</v>
      </c>
      <c r="C10" s="83">
        <v>18</v>
      </c>
      <c r="D10" s="83">
        <v>19</v>
      </c>
      <c r="E10" s="83">
        <v>20</v>
      </c>
      <c r="F10" s="81">
        <v>21</v>
      </c>
      <c r="G10" s="81">
        <v>22</v>
      </c>
      <c r="H10" s="81">
        <v>23</v>
      </c>
      <c r="I10" s="109"/>
      <c r="J10" s="80">
        <v>21</v>
      </c>
      <c r="K10" s="81">
        <v>22</v>
      </c>
      <c r="L10" s="81">
        <v>23</v>
      </c>
      <c r="M10" s="81">
        <v>24</v>
      </c>
      <c r="N10" s="81">
        <v>25</v>
      </c>
      <c r="O10" s="81">
        <v>26</v>
      </c>
      <c r="P10" s="81">
        <v>27</v>
      </c>
      <c r="Q10" s="109"/>
      <c r="R10" s="80">
        <v>18</v>
      </c>
      <c r="S10" s="82">
        <v>19</v>
      </c>
      <c r="T10" s="82">
        <v>20</v>
      </c>
      <c r="U10" s="82">
        <v>21</v>
      </c>
      <c r="V10" s="82">
        <v>22</v>
      </c>
      <c r="W10" s="82">
        <v>23</v>
      </c>
      <c r="X10" s="82">
        <v>24</v>
      </c>
    </row>
    <row r="11" spans="2:24" ht="15" customHeight="1" x14ac:dyDescent="0.3">
      <c r="B11" s="80">
        <v>24</v>
      </c>
      <c r="C11" s="81">
        <v>25</v>
      </c>
      <c r="D11" s="81">
        <v>26</v>
      </c>
      <c r="E11" s="81">
        <v>27</v>
      </c>
      <c r="F11" s="81">
        <v>28</v>
      </c>
      <c r="G11" s="81">
        <v>29</v>
      </c>
      <c r="H11" s="80">
        <v>30</v>
      </c>
      <c r="I11" s="109"/>
      <c r="J11" s="80">
        <v>28</v>
      </c>
      <c r="K11" s="81">
        <v>29</v>
      </c>
      <c r="L11" s="81">
        <v>30</v>
      </c>
      <c r="M11" s="81">
        <v>31</v>
      </c>
      <c r="N11" s="90"/>
      <c r="O11" s="91"/>
      <c r="P11" s="91"/>
      <c r="Q11" s="109"/>
      <c r="R11" s="80">
        <v>25</v>
      </c>
      <c r="S11" s="83">
        <v>26</v>
      </c>
      <c r="T11" s="83">
        <v>27</v>
      </c>
      <c r="U11" s="83">
        <v>28</v>
      </c>
      <c r="V11" s="83">
        <v>29</v>
      </c>
      <c r="W11" s="83">
        <v>30</v>
      </c>
      <c r="X11" s="92"/>
    </row>
    <row r="12" spans="2:24" ht="15" hidden="1" customHeight="1" x14ac:dyDescent="0.3">
      <c r="B12" s="86"/>
      <c r="C12" s="86"/>
      <c r="D12" s="86"/>
      <c r="E12" s="86"/>
      <c r="F12" s="86"/>
      <c r="G12" s="86"/>
      <c r="H12" s="86"/>
      <c r="I12" s="110"/>
      <c r="J12" s="86"/>
      <c r="K12" s="86"/>
      <c r="L12" s="86"/>
      <c r="M12" s="86"/>
      <c r="N12" s="89"/>
      <c r="O12" s="89"/>
      <c r="P12" s="89"/>
      <c r="Q12" s="110"/>
      <c r="R12" s="86"/>
      <c r="S12" s="86"/>
      <c r="T12" s="86"/>
      <c r="U12" s="86"/>
      <c r="V12" s="86"/>
      <c r="W12" s="86"/>
      <c r="X12" s="89"/>
    </row>
    <row r="13" spans="2:24" ht="15" hidden="1" customHeight="1" x14ac:dyDescent="0.3">
      <c r="B13" s="84" t="s">
        <v>17</v>
      </c>
      <c r="C13" s="84">
        <v>1</v>
      </c>
      <c r="D13" s="84">
        <v>1</v>
      </c>
      <c r="E13" s="84">
        <v>1</v>
      </c>
      <c r="F13" s="84">
        <v>2</v>
      </c>
      <c r="G13" s="84">
        <v>2</v>
      </c>
      <c r="H13" s="84">
        <v>1</v>
      </c>
      <c r="I13" s="110"/>
      <c r="J13" s="84" t="s">
        <v>17</v>
      </c>
      <c r="K13" s="84">
        <v>5</v>
      </c>
      <c r="L13" s="84">
        <v>5</v>
      </c>
      <c r="M13" s="84">
        <v>4</v>
      </c>
      <c r="N13" s="84">
        <v>4</v>
      </c>
      <c r="O13" s="84">
        <v>4</v>
      </c>
      <c r="P13" s="84">
        <v>3</v>
      </c>
      <c r="Q13" s="110"/>
      <c r="R13" s="84" t="s">
        <v>17</v>
      </c>
      <c r="S13" s="84">
        <v>2</v>
      </c>
      <c r="T13" s="84">
        <v>2</v>
      </c>
      <c r="U13" s="84">
        <v>2</v>
      </c>
      <c r="V13" s="84">
        <v>3</v>
      </c>
      <c r="W13" s="84">
        <v>3</v>
      </c>
      <c r="X13" s="84">
        <v>3</v>
      </c>
    </row>
    <row r="14" spans="2:24" ht="16.8" customHeight="1" x14ac:dyDescent="0.3"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2:24" ht="16.8" customHeight="1" x14ac:dyDescent="0.3">
      <c r="B15" s="138" t="s">
        <v>176</v>
      </c>
      <c r="C15" s="138"/>
      <c r="D15" s="138"/>
      <c r="E15" s="138"/>
      <c r="F15" s="138"/>
      <c r="G15" s="138"/>
      <c r="H15" s="138"/>
      <c r="I15" s="108"/>
      <c r="J15" s="138" t="s">
        <v>177</v>
      </c>
      <c r="K15" s="138"/>
      <c r="L15" s="138"/>
      <c r="M15" s="138"/>
      <c r="N15" s="138"/>
      <c r="O15" s="138"/>
      <c r="P15" s="138"/>
      <c r="Q15" s="108"/>
      <c r="R15" s="138" t="s">
        <v>178</v>
      </c>
      <c r="S15" s="138"/>
      <c r="T15" s="138"/>
      <c r="U15" s="138"/>
      <c r="V15" s="138"/>
      <c r="W15" s="138"/>
      <c r="X15" s="138"/>
    </row>
    <row r="16" spans="2:24" ht="36" customHeight="1" x14ac:dyDescent="0.3">
      <c r="B16" s="78" t="s">
        <v>165</v>
      </c>
      <c r="C16" s="79" t="s">
        <v>159</v>
      </c>
      <c r="D16" s="79" t="s">
        <v>160</v>
      </c>
      <c r="E16" s="79" t="s">
        <v>161</v>
      </c>
      <c r="F16" s="79" t="s">
        <v>162</v>
      </c>
      <c r="G16" s="79" t="s">
        <v>163</v>
      </c>
      <c r="H16" s="79" t="s">
        <v>164</v>
      </c>
      <c r="I16" s="60"/>
      <c r="J16" s="78" t="s">
        <v>165</v>
      </c>
      <c r="K16" s="79" t="s">
        <v>159</v>
      </c>
      <c r="L16" s="79" t="s">
        <v>160</v>
      </c>
      <c r="M16" s="79" t="s">
        <v>161</v>
      </c>
      <c r="N16" s="79" t="s">
        <v>162</v>
      </c>
      <c r="O16" s="79" t="s">
        <v>163</v>
      </c>
      <c r="P16" s="79" t="s">
        <v>164</v>
      </c>
      <c r="Q16" s="60"/>
      <c r="R16" s="78" t="s">
        <v>165</v>
      </c>
      <c r="S16" s="79" t="s">
        <v>159</v>
      </c>
      <c r="T16" s="79" t="s">
        <v>160</v>
      </c>
      <c r="U16" s="79" t="s">
        <v>161</v>
      </c>
      <c r="V16" s="79" t="s">
        <v>162</v>
      </c>
      <c r="W16" s="79" t="s">
        <v>163</v>
      </c>
      <c r="X16" s="79" t="s">
        <v>164</v>
      </c>
    </row>
    <row r="17" spans="2:24" ht="15" customHeight="1" x14ac:dyDescent="0.3">
      <c r="B17" s="86"/>
      <c r="C17" s="86"/>
      <c r="D17" s="86"/>
      <c r="E17" s="86"/>
      <c r="F17" s="86"/>
      <c r="G17" s="88"/>
      <c r="H17" s="83">
        <v>1</v>
      </c>
      <c r="I17" s="109"/>
      <c r="J17" s="86"/>
      <c r="K17" s="88"/>
      <c r="L17" s="81">
        <v>1</v>
      </c>
      <c r="M17" s="81">
        <v>2</v>
      </c>
      <c r="N17" s="81">
        <v>3</v>
      </c>
      <c r="O17" s="81">
        <v>4</v>
      </c>
      <c r="P17" s="81">
        <v>5</v>
      </c>
      <c r="Q17" s="109"/>
      <c r="R17" s="80"/>
      <c r="S17" s="81"/>
      <c r="T17" s="81"/>
      <c r="U17" s="81"/>
      <c r="V17" s="81">
        <v>1</v>
      </c>
      <c r="W17" s="81">
        <v>2</v>
      </c>
      <c r="X17" s="81">
        <v>3</v>
      </c>
    </row>
    <row r="18" spans="2:24" ht="15" customHeight="1" x14ac:dyDescent="0.3">
      <c r="B18" s="80">
        <v>2</v>
      </c>
      <c r="C18" s="81">
        <v>3</v>
      </c>
      <c r="D18" s="81">
        <v>4</v>
      </c>
      <c r="E18" s="81">
        <v>5</v>
      </c>
      <c r="F18" s="81">
        <v>6</v>
      </c>
      <c r="G18" s="82">
        <v>7</v>
      </c>
      <c r="H18" s="80">
        <v>8</v>
      </c>
      <c r="I18" s="109"/>
      <c r="J18" s="80">
        <v>6</v>
      </c>
      <c r="K18" s="81">
        <v>7</v>
      </c>
      <c r="L18" s="81">
        <v>8</v>
      </c>
      <c r="M18" s="81">
        <v>9</v>
      </c>
      <c r="N18" s="81">
        <v>10</v>
      </c>
      <c r="O18" s="81">
        <v>11</v>
      </c>
      <c r="P18" s="81">
        <v>12</v>
      </c>
      <c r="Q18" s="109"/>
      <c r="R18" s="80">
        <v>4</v>
      </c>
      <c r="S18" s="96">
        <v>5</v>
      </c>
      <c r="T18" s="96">
        <v>6</v>
      </c>
      <c r="U18" s="96">
        <v>7</v>
      </c>
      <c r="V18" s="96">
        <v>8</v>
      </c>
      <c r="W18" s="96">
        <v>9</v>
      </c>
      <c r="X18" s="96">
        <v>10</v>
      </c>
    </row>
    <row r="19" spans="2:24" ht="15" customHeight="1" x14ac:dyDescent="0.3">
      <c r="B19" s="80">
        <v>9</v>
      </c>
      <c r="C19" s="81">
        <v>10</v>
      </c>
      <c r="D19" s="81">
        <v>11</v>
      </c>
      <c r="E19" s="81">
        <v>12</v>
      </c>
      <c r="F19" s="81">
        <v>13</v>
      </c>
      <c r="G19" s="81">
        <v>14</v>
      </c>
      <c r="H19" s="81">
        <v>15</v>
      </c>
      <c r="I19" s="109"/>
      <c r="J19" s="80">
        <v>13</v>
      </c>
      <c r="K19" s="81">
        <v>14</v>
      </c>
      <c r="L19" s="81">
        <v>15</v>
      </c>
      <c r="M19" s="81">
        <v>16</v>
      </c>
      <c r="N19" s="81">
        <v>17</v>
      </c>
      <c r="O19" s="81">
        <v>18</v>
      </c>
      <c r="P19" s="81">
        <v>19</v>
      </c>
      <c r="Q19" s="109"/>
      <c r="R19" s="80">
        <v>11</v>
      </c>
      <c r="S19" s="96">
        <v>12</v>
      </c>
      <c r="T19" s="96">
        <v>13</v>
      </c>
      <c r="U19" s="96">
        <v>14</v>
      </c>
      <c r="V19" s="96">
        <v>15</v>
      </c>
      <c r="W19" s="96">
        <v>16</v>
      </c>
      <c r="X19" s="96">
        <v>17</v>
      </c>
    </row>
    <row r="20" spans="2:24" ht="15" customHeight="1" x14ac:dyDescent="0.3">
      <c r="B20" s="80">
        <v>16</v>
      </c>
      <c r="C20" s="81">
        <v>17</v>
      </c>
      <c r="D20" s="81">
        <v>18</v>
      </c>
      <c r="E20" s="81">
        <v>19</v>
      </c>
      <c r="F20" s="81">
        <v>20</v>
      </c>
      <c r="G20" s="81">
        <v>21</v>
      </c>
      <c r="H20" s="81">
        <v>22</v>
      </c>
      <c r="I20" s="109"/>
      <c r="J20" s="80">
        <v>20</v>
      </c>
      <c r="K20" s="81">
        <v>21</v>
      </c>
      <c r="L20" s="81">
        <v>22</v>
      </c>
      <c r="M20" s="81">
        <v>23</v>
      </c>
      <c r="N20" s="81">
        <v>24</v>
      </c>
      <c r="O20" s="81">
        <v>25</v>
      </c>
      <c r="P20" s="81">
        <v>26</v>
      </c>
      <c r="Q20" s="109"/>
      <c r="R20" s="80">
        <v>18</v>
      </c>
      <c r="S20" s="94">
        <v>19</v>
      </c>
      <c r="T20" s="94">
        <v>20</v>
      </c>
      <c r="U20" s="94">
        <v>21</v>
      </c>
      <c r="V20" s="94">
        <v>22</v>
      </c>
      <c r="W20" s="94">
        <v>23</v>
      </c>
      <c r="X20" s="95">
        <v>24</v>
      </c>
    </row>
    <row r="21" spans="2:24" ht="15" customHeight="1" x14ac:dyDescent="0.3">
      <c r="B21" s="80">
        <v>23</v>
      </c>
      <c r="C21" s="87">
        <v>24</v>
      </c>
      <c r="D21" s="87">
        <v>25</v>
      </c>
      <c r="E21" s="87">
        <v>26</v>
      </c>
      <c r="F21" s="87">
        <v>27</v>
      </c>
      <c r="G21" s="81">
        <v>28</v>
      </c>
      <c r="H21" s="81">
        <v>29</v>
      </c>
      <c r="I21" s="109"/>
      <c r="J21" s="80">
        <v>27</v>
      </c>
      <c r="K21" s="81">
        <v>28</v>
      </c>
      <c r="L21" s="81">
        <v>29</v>
      </c>
      <c r="M21" s="81">
        <v>30</v>
      </c>
      <c r="N21" s="90"/>
      <c r="O21" s="91"/>
      <c r="P21" s="91"/>
      <c r="Q21" s="109"/>
      <c r="R21" s="80">
        <v>25</v>
      </c>
      <c r="S21" s="98">
        <v>26</v>
      </c>
      <c r="T21" s="98">
        <v>27</v>
      </c>
      <c r="U21" s="98">
        <v>28</v>
      </c>
      <c r="V21" s="98">
        <v>29</v>
      </c>
      <c r="W21" s="98">
        <v>30</v>
      </c>
      <c r="X21" s="98">
        <v>31</v>
      </c>
    </row>
    <row r="22" spans="2:24" ht="15" customHeight="1" x14ac:dyDescent="0.3">
      <c r="B22" s="80">
        <v>30</v>
      </c>
      <c r="C22" s="81">
        <v>31</v>
      </c>
      <c r="D22" s="90"/>
      <c r="E22" s="91"/>
      <c r="F22" s="91"/>
      <c r="G22" s="91"/>
      <c r="H22" s="91"/>
      <c r="I22" s="109"/>
      <c r="J22" s="93"/>
      <c r="K22" s="93"/>
      <c r="L22" s="93"/>
      <c r="M22" s="93"/>
      <c r="N22" s="85"/>
      <c r="O22" s="85"/>
      <c r="P22" s="85"/>
      <c r="Q22" s="109"/>
      <c r="R22" s="93"/>
      <c r="S22" s="93"/>
      <c r="T22" s="93"/>
      <c r="U22" s="93"/>
      <c r="V22" s="93"/>
      <c r="W22" s="93"/>
      <c r="X22" s="93"/>
    </row>
    <row r="23" spans="2:24" ht="4.8" hidden="1" customHeight="1" x14ac:dyDescent="0.3">
      <c r="B23" s="86"/>
      <c r="C23" s="86"/>
      <c r="D23" s="89"/>
      <c r="E23" s="89"/>
      <c r="F23" s="89"/>
      <c r="G23" s="89"/>
      <c r="H23" s="89"/>
      <c r="I23" s="110"/>
      <c r="J23" s="89"/>
      <c r="K23" s="89"/>
      <c r="L23" s="89"/>
      <c r="M23" s="89"/>
      <c r="N23" s="89"/>
      <c r="O23" s="89"/>
      <c r="P23" s="89"/>
      <c r="Q23" s="110"/>
      <c r="R23" s="89"/>
      <c r="S23" s="89"/>
      <c r="T23" s="89"/>
      <c r="U23" s="89"/>
      <c r="V23" s="89"/>
      <c r="W23" s="89"/>
      <c r="X23" s="89"/>
    </row>
    <row r="24" spans="2:24" ht="15" hidden="1" customHeight="1" x14ac:dyDescent="0.3">
      <c r="B24" s="84" t="s">
        <v>17</v>
      </c>
      <c r="C24" s="84">
        <v>4</v>
      </c>
      <c r="D24" s="84">
        <v>3</v>
      </c>
      <c r="E24" s="84">
        <v>3</v>
      </c>
      <c r="F24" s="84">
        <v>3</v>
      </c>
      <c r="G24" s="84">
        <v>3</v>
      </c>
      <c r="H24" s="84">
        <v>3</v>
      </c>
      <c r="I24" s="110"/>
      <c r="J24" s="84" t="s">
        <v>17</v>
      </c>
      <c r="K24" s="84">
        <v>4</v>
      </c>
      <c r="L24" s="84">
        <v>5</v>
      </c>
      <c r="M24" s="84">
        <v>5</v>
      </c>
      <c r="N24" s="84">
        <v>4</v>
      </c>
      <c r="O24" s="84">
        <v>4</v>
      </c>
      <c r="P24" s="84">
        <v>4</v>
      </c>
      <c r="Q24" s="110"/>
      <c r="R24" s="84" t="s">
        <v>17</v>
      </c>
      <c r="S24" s="84">
        <v>0</v>
      </c>
      <c r="T24" s="84">
        <v>0</v>
      </c>
      <c r="U24" s="84">
        <v>0</v>
      </c>
      <c r="V24" s="84">
        <v>1</v>
      </c>
      <c r="W24" s="84">
        <v>1</v>
      </c>
      <c r="X24" s="84">
        <v>1</v>
      </c>
    </row>
    <row r="25" spans="2:24" ht="15" customHeight="1" x14ac:dyDescent="0.3"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spans="2:24" ht="16.8" customHeight="1" x14ac:dyDescent="0.3">
      <c r="B26" s="138" t="s">
        <v>179</v>
      </c>
      <c r="C26" s="138"/>
      <c r="D26" s="138"/>
      <c r="E26" s="138"/>
      <c r="F26" s="138"/>
      <c r="G26" s="138"/>
      <c r="H26" s="138"/>
      <c r="I26" s="109"/>
      <c r="J26" s="138" t="s">
        <v>180</v>
      </c>
      <c r="K26" s="138"/>
      <c r="L26" s="138"/>
      <c r="M26" s="138"/>
      <c r="N26" s="138"/>
      <c r="O26" s="138"/>
      <c r="P26" s="138"/>
      <c r="Q26" s="109"/>
      <c r="R26" s="138" t="s">
        <v>181</v>
      </c>
      <c r="S26" s="138"/>
      <c r="T26" s="138"/>
      <c r="U26" s="138"/>
      <c r="V26" s="138"/>
      <c r="W26" s="138"/>
      <c r="X26" s="138"/>
    </row>
    <row r="27" spans="2:24" ht="36" customHeight="1" x14ac:dyDescent="0.3">
      <c r="B27" s="78" t="s">
        <v>165</v>
      </c>
      <c r="C27" s="79" t="s">
        <v>159</v>
      </c>
      <c r="D27" s="79" t="s">
        <v>160</v>
      </c>
      <c r="E27" s="79" t="s">
        <v>161</v>
      </c>
      <c r="F27" s="79" t="s">
        <v>162</v>
      </c>
      <c r="G27" s="79" t="s">
        <v>163</v>
      </c>
      <c r="H27" s="79" t="s">
        <v>164</v>
      </c>
      <c r="I27" s="60"/>
      <c r="J27" s="78" t="s">
        <v>165</v>
      </c>
      <c r="K27" s="79" t="s">
        <v>159</v>
      </c>
      <c r="L27" s="79" t="s">
        <v>160</v>
      </c>
      <c r="M27" s="79" t="s">
        <v>161</v>
      </c>
      <c r="N27" s="79" t="s">
        <v>162</v>
      </c>
      <c r="O27" s="79" t="s">
        <v>163</v>
      </c>
      <c r="P27" s="79" t="s">
        <v>164</v>
      </c>
      <c r="Q27" s="60"/>
      <c r="R27" s="78" t="s">
        <v>165</v>
      </c>
      <c r="S27" s="79" t="s">
        <v>159</v>
      </c>
      <c r="T27" s="79" t="s">
        <v>160</v>
      </c>
      <c r="U27" s="79" t="s">
        <v>161</v>
      </c>
      <c r="V27" s="79" t="s">
        <v>162</v>
      </c>
      <c r="W27" s="79" t="s">
        <v>163</v>
      </c>
      <c r="X27" s="79" t="s">
        <v>164</v>
      </c>
    </row>
    <row r="28" spans="2:24" ht="15" customHeight="1" x14ac:dyDescent="0.3">
      <c r="B28" s="80">
        <v>1</v>
      </c>
      <c r="C28" s="98">
        <v>2</v>
      </c>
      <c r="D28" s="98">
        <v>3</v>
      </c>
      <c r="E28" s="98">
        <v>4</v>
      </c>
      <c r="F28" s="98">
        <v>5</v>
      </c>
      <c r="G28" s="98">
        <v>6</v>
      </c>
      <c r="H28" s="98">
        <v>7</v>
      </c>
      <c r="I28" s="109"/>
      <c r="J28" s="86"/>
      <c r="K28" s="86"/>
      <c r="L28" s="88"/>
      <c r="M28" s="81">
        <v>1</v>
      </c>
      <c r="N28" s="81">
        <v>2</v>
      </c>
      <c r="O28" s="81">
        <v>3</v>
      </c>
      <c r="P28" s="81">
        <v>4</v>
      </c>
      <c r="Q28" s="109"/>
      <c r="R28" s="86"/>
      <c r="S28" s="86"/>
      <c r="T28" s="88"/>
      <c r="U28" s="81">
        <v>1</v>
      </c>
      <c r="V28" s="81">
        <v>2</v>
      </c>
      <c r="W28" s="81">
        <v>3</v>
      </c>
      <c r="X28" s="81">
        <v>4</v>
      </c>
    </row>
    <row r="29" spans="2:24" ht="15" customHeight="1" x14ac:dyDescent="0.3">
      <c r="B29" s="80">
        <v>8</v>
      </c>
      <c r="C29" s="83">
        <v>9</v>
      </c>
      <c r="D29" s="81">
        <v>10</v>
      </c>
      <c r="E29" s="81">
        <v>11</v>
      </c>
      <c r="F29" s="81">
        <v>12</v>
      </c>
      <c r="G29" s="81">
        <v>13</v>
      </c>
      <c r="H29" s="81">
        <v>14</v>
      </c>
      <c r="I29" s="109"/>
      <c r="J29" s="80">
        <v>5</v>
      </c>
      <c r="K29" s="81">
        <v>6</v>
      </c>
      <c r="L29" s="81">
        <v>7</v>
      </c>
      <c r="M29" s="81">
        <v>8</v>
      </c>
      <c r="N29" s="81">
        <v>9</v>
      </c>
      <c r="O29" s="81">
        <v>10</v>
      </c>
      <c r="P29" s="81">
        <v>11</v>
      </c>
      <c r="Q29" s="109"/>
      <c r="R29" s="80">
        <v>5</v>
      </c>
      <c r="S29" s="82">
        <v>6</v>
      </c>
      <c r="T29" s="82">
        <v>7</v>
      </c>
      <c r="U29" s="82">
        <v>8</v>
      </c>
      <c r="V29" s="82">
        <v>9</v>
      </c>
      <c r="W29" s="82">
        <v>10</v>
      </c>
      <c r="X29" s="82">
        <v>11</v>
      </c>
    </row>
    <row r="30" spans="2:24" ht="15" customHeight="1" x14ac:dyDescent="0.3">
      <c r="B30" s="80">
        <v>15</v>
      </c>
      <c r="C30" s="81">
        <v>16</v>
      </c>
      <c r="D30" s="81">
        <v>17</v>
      </c>
      <c r="E30" s="81">
        <v>18</v>
      </c>
      <c r="F30" s="81">
        <v>19</v>
      </c>
      <c r="G30" s="81">
        <v>20</v>
      </c>
      <c r="H30" s="81">
        <v>21</v>
      </c>
      <c r="I30" s="109"/>
      <c r="J30" s="80">
        <v>12</v>
      </c>
      <c r="K30" s="81">
        <v>13</v>
      </c>
      <c r="L30" s="81">
        <v>14</v>
      </c>
      <c r="M30" s="81">
        <v>15</v>
      </c>
      <c r="N30" s="81">
        <v>16</v>
      </c>
      <c r="O30" s="83">
        <v>17</v>
      </c>
      <c r="P30" s="80">
        <v>18</v>
      </c>
      <c r="Q30" s="109"/>
      <c r="R30" s="80">
        <v>12</v>
      </c>
      <c r="S30" s="83">
        <v>13</v>
      </c>
      <c r="T30" s="83">
        <v>14</v>
      </c>
      <c r="U30" s="83">
        <v>15</v>
      </c>
      <c r="V30" s="83">
        <v>16</v>
      </c>
      <c r="W30" s="83">
        <v>17</v>
      </c>
      <c r="X30" s="83">
        <v>18</v>
      </c>
    </row>
    <row r="31" spans="2:24" ht="15" customHeight="1" x14ac:dyDescent="0.3">
      <c r="B31" s="80">
        <v>22</v>
      </c>
      <c r="C31" s="81">
        <v>23</v>
      </c>
      <c r="D31" s="81">
        <v>24</v>
      </c>
      <c r="E31" s="81">
        <v>25</v>
      </c>
      <c r="F31" s="81">
        <v>26</v>
      </c>
      <c r="G31" s="81">
        <v>27</v>
      </c>
      <c r="H31" s="81">
        <v>28</v>
      </c>
      <c r="I31" s="109"/>
      <c r="J31" s="80">
        <v>19</v>
      </c>
      <c r="K31" s="83">
        <v>20</v>
      </c>
      <c r="L31" s="81">
        <v>21</v>
      </c>
      <c r="M31" s="81">
        <v>22</v>
      </c>
      <c r="N31" s="81">
        <v>23</v>
      </c>
      <c r="O31" s="81">
        <v>24</v>
      </c>
      <c r="P31" s="81">
        <v>25</v>
      </c>
      <c r="Q31" s="109"/>
      <c r="R31" s="80">
        <v>19</v>
      </c>
      <c r="S31" s="81">
        <v>20</v>
      </c>
      <c r="T31" s="81">
        <v>21</v>
      </c>
      <c r="U31" s="81">
        <v>22</v>
      </c>
      <c r="V31" s="101">
        <v>23</v>
      </c>
      <c r="W31" s="101">
        <v>24</v>
      </c>
      <c r="X31" s="101">
        <v>25</v>
      </c>
    </row>
    <row r="32" spans="2:24" ht="15" customHeight="1" x14ac:dyDescent="0.3">
      <c r="B32" s="80">
        <v>29</v>
      </c>
      <c r="C32" s="81">
        <v>30</v>
      </c>
      <c r="D32" s="81">
        <v>31</v>
      </c>
      <c r="E32" s="90"/>
      <c r="F32" s="91"/>
      <c r="G32" s="91"/>
      <c r="H32" s="91"/>
      <c r="I32" s="109"/>
      <c r="J32" s="80">
        <v>26</v>
      </c>
      <c r="K32" s="81">
        <v>27</v>
      </c>
      <c r="L32" s="81">
        <v>28</v>
      </c>
      <c r="M32" s="90"/>
      <c r="N32" s="91"/>
      <c r="O32" s="91"/>
      <c r="P32" s="91"/>
      <c r="Q32" s="109"/>
      <c r="R32" s="80">
        <v>26</v>
      </c>
      <c r="S32" s="81">
        <v>27</v>
      </c>
      <c r="T32" s="81">
        <v>28</v>
      </c>
      <c r="U32" s="81">
        <v>29</v>
      </c>
      <c r="V32" s="81">
        <v>30</v>
      </c>
      <c r="W32" s="81">
        <v>31</v>
      </c>
      <c r="X32" s="91"/>
    </row>
    <row r="33" spans="2:24" ht="4.2" hidden="1" customHeight="1" x14ac:dyDescent="0.3">
      <c r="B33" s="89"/>
      <c r="C33" s="89"/>
      <c r="D33" s="89"/>
      <c r="E33" s="89"/>
      <c r="F33" s="89"/>
      <c r="G33" s="89"/>
      <c r="H33" s="89"/>
      <c r="I33" s="110"/>
      <c r="J33" s="89"/>
      <c r="K33" s="89"/>
      <c r="L33" s="89"/>
      <c r="M33" s="89"/>
      <c r="N33" s="89"/>
      <c r="O33" s="89"/>
      <c r="P33" s="89"/>
      <c r="Q33" s="110"/>
      <c r="R33" s="89"/>
      <c r="S33" s="89"/>
      <c r="T33" s="89"/>
      <c r="U33" s="89"/>
      <c r="V33" s="89"/>
      <c r="W33" s="89"/>
      <c r="X33" s="89"/>
    </row>
    <row r="34" spans="2:24" ht="15" hidden="1" customHeight="1" x14ac:dyDescent="0.3">
      <c r="B34" s="84" t="s">
        <v>17</v>
      </c>
      <c r="C34" s="84">
        <v>3</v>
      </c>
      <c r="D34" s="84">
        <v>4</v>
      </c>
      <c r="E34" s="84">
        <v>3</v>
      </c>
      <c r="F34" s="84">
        <v>3</v>
      </c>
      <c r="G34" s="84">
        <v>3</v>
      </c>
      <c r="H34" s="84">
        <v>3</v>
      </c>
      <c r="I34" s="110"/>
      <c r="J34" s="84" t="s">
        <v>17</v>
      </c>
      <c r="K34" s="84">
        <v>3</v>
      </c>
      <c r="L34" s="84">
        <v>4</v>
      </c>
      <c r="M34" s="84">
        <v>4</v>
      </c>
      <c r="N34" s="84">
        <v>4</v>
      </c>
      <c r="O34" s="84">
        <v>3</v>
      </c>
      <c r="P34" s="84">
        <v>3</v>
      </c>
      <c r="Q34" s="110"/>
      <c r="R34" s="84" t="s">
        <v>17</v>
      </c>
      <c r="S34" s="84">
        <v>2</v>
      </c>
      <c r="T34" s="84">
        <v>2</v>
      </c>
      <c r="U34" s="84">
        <v>3</v>
      </c>
      <c r="V34" s="84">
        <v>2</v>
      </c>
      <c r="W34" s="84">
        <v>2</v>
      </c>
      <c r="X34" s="84">
        <v>1</v>
      </c>
    </row>
    <row r="35" spans="2:24" ht="15" customHeight="1" x14ac:dyDescent="0.3"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  <row r="36" spans="2:24" ht="16.8" customHeight="1" x14ac:dyDescent="0.3">
      <c r="B36" s="138" t="s">
        <v>182</v>
      </c>
      <c r="C36" s="138"/>
      <c r="D36" s="138"/>
      <c r="E36" s="138"/>
      <c r="F36" s="138"/>
      <c r="G36" s="138"/>
      <c r="H36" s="138"/>
      <c r="I36" s="109"/>
      <c r="J36" s="138" t="s">
        <v>183</v>
      </c>
      <c r="K36" s="138"/>
      <c r="L36" s="138"/>
      <c r="M36" s="138"/>
      <c r="N36" s="138"/>
      <c r="O36" s="138"/>
      <c r="P36" s="138"/>
      <c r="Q36" s="109"/>
      <c r="R36" s="138" t="s">
        <v>184</v>
      </c>
      <c r="S36" s="138"/>
      <c r="T36" s="138"/>
      <c r="U36" s="138"/>
      <c r="V36" s="138"/>
      <c r="W36" s="138"/>
      <c r="X36" s="138"/>
    </row>
    <row r="37" spans="2:24" ht="36" customHeight="1" x14ac:dyDescent="0.3">
      <c r="B37" s="78" t="s">
        <v>165</v>
      </c>
      <c r="C37" s="79" t="s">
        <v>159</v>
      </c>
      <c r="D37" s="79" t="s">
        <v>160</v>
      </c>
      <c r="E37" s="79" t="s">
        <v>161</v>
      </c>
      <c r="F37" s="79" t="s">
        <v>162</v>
      </c>
      <c r="G37" s="79" t="s">
        <v>163</v>
      </c>
      <c r="H37" s="79" t="s">
        <v>164</v>
      </c>
      <c r="I37" s="60"/>
      <c r="J37" s="78" t="s">
        <v>165</v>
      </c>
      <c r="K37" s="79" t="s">
        <v>159</v>
      </c>
      <c r="L37" s="79" t="s">
        <v>160</v>
      </c>
      <c r="M37" s="79" t="s">
        <v>161</v>
      </c>
      <c r="N37" s="79" t="s">
        <v>162</v>
      </c>
      <c r="O37" s="79" t="s">
        <v>163</v>
      </c>
      <c r="P37" s="79" t="s">
        <v>164</v>
      </c>
      <c r="Q37" s="60"/>
      <c r="R37" s="78" t="s">
        <v>165</v>
      </c>
      <c r="S37" s="79" t="s">
        <v>159</v>
      </c>
      <c r="T37" s="79" t="s">
        <v>160</v>
      </c>
      <c r="U37" s="79" t="s">
        <v>161</v>
      </c>
      <c r="V37" s="79" t="s">
        <v>162</v>
      </c>
      <c r="W37" s="79" t="s">
        <v>163</v>
      </c>
      <c r="X37" s="79" t="s">
        <v>164</v>
      </c>
    </row>
    <row r="38" spans="2:24" ht="15" customHeight="1" x14ac:dyDescent="0.3">
      <c r="B38" s="86"/>
      <c r="C38" s="86"/>
      <c r="D38" s="86"/>
      <c r="E38" s="86"/>
      <c r="F38" s="86"/>
      <c r="G38" s="88"/>
      <c r="H38" s="81">
        <v>1</v>
      </c>
      <c r="I38" s="109"/>
      <c r="J38" s="86"/>
      <c r="K38" s="80">
        <v>1</v>
      </c>
      <c r="L38" s="81">
        <v>2</v>
      </c>
      <c r="M38" s="81">
        <v>3</v>
      </c>
      <c r="N38" s="81">
        <v>4</v>
      </c>
      <c r="O38" s="81">
        <v>5</v>
      </c>
      <c r="P38" s="80">
        <v>6</v>
      </c>
      <c r="Q38" s="109"/>
      <c r="R38" s="86"/>
      <c r="S38" s="86"/>
      <c r="T38" s="86"/>
      <c r="U38" s="88"/>
      <c r="V38" s="80">
        <v>1</v>
      </c>
      <c r="W38" s="81">
        <v>2</v>
      </c>
      <c r="X38" s="81">
        <v>3</v>
      </c>
    </row>
    <row r="39" spans="2:24" ht="15" customHeight="1" x14ac:dyDescent="0.3">
      <c r="B39" s="97">
        <v>2</v>
      </c>
      <c r="C39" s="99">
        <v>3</v>
      </c>
      <c r="D39" s="99">
        <v>4</v>
      </c>
      <c r="E39" s="99">
        <v>5</v>
      </c>
      <c r="F39" s="99">
        <v>6</v>
      </c>
      <c r="G39" s="97">
        <v>7</v>
      </c>
      <c r="H39" s="100">
        <v>8</v>
      </c>
      <c r="I39" s="109"/>
      <c r="J39" s="80">
        <v>7</v>
      </c>
      <c r="K39" s="81">
        <v>8</v>
      </c>
      <c r="L39" s="81">
        <v>9</v>
      </c>
      <c r="M39" s="81">
        <v>10</v>
      </c>
      <c r="N39" s="81">
        <v>11</v>
      </c>
      <c r="O39" s="81">
        <v>12</v>
      </c>
      <c r="P39" s="81">
        <v>13</v>
      </c>
      <c r="Q39" s="109"/>
      <c r="R39" s="80">
        <v>4</v>
      </c>
      <c r="S39" s="96">
        <v>5</v>
      </c>
      <c r="T39" s="96">
        <v>6</v>
      </c>
      <c r="U39" s="96">
        <v>7</v>
      </c>
      <c r="V39" s="96">
        <v>8</v>
      </c>
      <c r="W39" s="96">
        <v>9</v>
      </c>
      <c r="X39" s="96">
        <v>10</v>
      </c>
    </row>
    <row r="40" spans="2:24" ht="15" customHeight="1" x14ac:dyDescent="0.3">
      <c r="B40" s="80">
        <v>9</v>
      </c>
      <c r="C40" s="82">
        <v>10</v>
      </c>
      <c r="D40" s="82">
        <v>11</v>
      </c>
      <c r="E40" s="82">
        <v>12</v>
      </c>
      <c r="F40" s="82">
        <v>13</v>
      </c>
      <c r="G40" s="82">
        <v>14</v>
      </c>
      <c r="H40" s="82">
        <v>15</v>
      </c>
      <c r="I40" s="109"/>
      <c r="J40" s="80">
        <v>14</v>
      </c>
      <c r="K40" s="81">
        <v>15</v>
      </c>
      <c r="L40" s="81">
        <v>16</v>
      </c>
      <c r="M40" s="81">
        <v>17</v>
      </c>
      <c r="N40" s="80">
        <v>18</v>
      </c>
      <c r="O40" s="81">
        <v>19</v>
      </c>
      <c r="P40" s="81">
        <v>20</v>
      </c>
      <c r="Q40" s="109"/>
      <c r="R40" s="80">
        <v>11</v>
      </c>
      <c r="S40" s="96">
        <v>12</v>
      </c>
      <c r="T40" s="96">
        <v>13</v>
      </c>
      <c r="U40" s="96">
        <v>14</v>
      </c>
      <c r="V40" s="96">
        <v>15</v>
      </c>
      <c r="W40" s="96">
        <v>16</v>
      </c>
      <c r="X40" s="96">
        <v>17</v>
      </c>
    </row>
    <row r="41" spans="2:24" ht="15" customHeight="1" x14ac:dyDescent="0.3">
      <c r="B41" s="80">
        <v>16</v>
      </c>
      <c r="C41" s="101">
        <v>17</v>
      </c>
      <c r="D41" s="101">
        <v>18</v>
      </c>
      <c r="E41" s="101">
        <v>19</v>
      </c>
      <c r="F41" s="101">
        <v>20</v>
      </c>
      <c r="G41" s="101">
        <v>21</v>
      </c>
      <c r="H41" s="80">
        <v>22</v>
      </c>
      <c r="I41" s="109"/>
      <c r="J41" s="80">
        <v>21</v>
      </c>
      <c r="K41" s="81">
        <v>22</v>
      </c>
      <c r="L41" s="81">
        <v>23</v>
      </c>
      <c r="M41" s="81">
        <v>24</v>
      </c>
      <c r="N41" s="81">
        <v>25</v>
      </c>
      <c r="O41" s="81">
        <v>26</v>
      </c>
      <c r="P41" s="81">
        <v>27</v>
      </c>
      <c r="Q41" s="109"/>
      <c r="R41" s="80">
        <v>18</v>
      </c>
      <c r="S41" s="94">
        <v>19</v>
      </c>
      <c r="T41" s="94">
        <v>20</v>
      </c>
      <c r="U41" s="94">
        <v>21</v>
      </c>
      <c r="V41" s="94">
        <v>22</v>
      </c>
      <c r="W41" s="94">
        <v>23</v>
      </c>
      <c r="X41" s="95">
        <v>24</v>
      </c>
    </row>
    <row r="42" spans="2:24" ht="15" customHeight="1" x14ac:dyDescent="0.3">
      <c r="B42" s="80">
        <v>23</v>
      </c>
      <c r="C42" s="101">
        <v>24</v>
      </c>
      <c r="D42" s="101">
        <v>25</v>
      </c>
      <c r="E42" s="101">
        <v>26</v>
      </c>
      <c r="F42" s="101">
        <v>27</v>
      </c>
      <c r="G42" s="101">
        <v>28</v>
      </c>
      <c r="H42" s="101">
        <v>29</v>
      </c>
      <c r="I42" s="109"/>
      <c r="J42" s="80">
        <v>28</v>
      </c>
      <c r="K42" s="81">
        <v>29</v>
      </c>
      <c r="L42" s="81">
        <v>30</v>
      </c>
      <c r="M42" s="81">
        <v>31</v>
      </c>
      <c r="N42" s="90"/>
      <c r="O42" s="91"/>
      <c r="P42" s="91"/>
      <c r="Q42" s="109"/>
      <c r="R42" s="80">
        <v>25</v>
      </c>
      <c r="S42" s="98">
        <v>26</v>
      </c>
      <c r="T42" s="98">
        <v>27</v>
      </c>
      <c r="U42" s="98">
        <v>28</v>
      </c>
      <c r="V42" s="98">
        <v>29</v>
      </c>
      <c r="W42" s="98">
        <v>30</v>
      </c>
      <c r="X42" s="92"/>
    </row>
    <row r="43" spans="2:24" ht="15" customHeight="1" x14ac:dyDescent="0.3">
      <c r="B43" s="80">
        <v>30</v>
      </c>
      <c r="C43" s="90"/>
      <c r="D43" s="91"/>
      <c r="E43" s="91"/>
      <c r="F43" s="91"/>
      <c r="G43" s="91"/>
      <c r="H43" s="91"/>
      <c r="I43" s="109"/>
      <c r="J43" s="93"/>
      <c r="K43" s="93"/>
      <c r="L43" s="93"/>
      <c r="M43" s="93"/>
      <c r="N43" s="85"/>
      <c r="O43" s="85"/>
      <c r="P43" s="85"/>
      <c r="Q43" s="109"/>
      <c r="R43" s="93"/>
      <c r="S43" s="93"/>
      <c r="T43" s="93"/>
      <c r="U43" s="93"/>
      <c r="V43" s="93"/>
      <c r="W43" s="93"/>
      <c r="X43" s="85"/>
    </row>
    <row r="44" spans="2:24" ht="6.6" hidden="1" customHeight="1" x14ac:dyDescent="0.3">
      <c r="B44" s="86"/>
      <c r="C44" s="89"/>
      <c r="D44" s="89"/>
      <c r="E44" s="89"/>
      <c r="F44" s="89"/>
      <c r="G44" s="89"/>
      <c r="H44" s="89"/>
      <c r="I44" s="110"/>
      <c r="J44" s="89"/>
      <c r="K44" s="89"/>
      <c r="L44" s="89"/>
      <c r="M44" s="89"/>
      <c r="N44" s="89"/>
      <c r="O44" s="89"/>
      <c r="P44" s="89"/>
      <c r="Q44" s="110"/>
      <c r="R44" s="89"/>
      <c r="S44" s="89"/>
      <c r="T44" s="89"/>
      <c r="U44" s="89"/>
      <c r="V44" s="89"/>
      <c r="W44" s="89"/>
      <c r="X44" s="89"/>
    </row>
    <row r="45" spans="2:24" ht="15" hidden="1" customHeight="1" x14ac:dyDescent="0.3">
      <c r="B45" s="84" t="s">
        <v>17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1</v>
      </c>
      <c r="I45" s="110"/>
      <c r="J45" s="84" t="s">
        <v>17</v>
      </c>
      <c r="K45" s="84">
        <v>4</v>
      </c>
      <c r="L45" s="84">
        <v>5</v>
      </c>
      <c r="M45" s="84">
        <v>5</v>
      </c>
      <c r="N45" s="84">
        <v>3</v>
      </c>
      <c r="O45" s="84">
        <v>4</v>
      </c>
      <c r="P45" s="84">
        <v>3</v>
      </c>
      <c r="Q45" s="110"/>
      <c r="R45" s="84" t="s">
        <v>17</v>
      </c>
      <c r="S45" s="84">
        <v>0</v>
      </c>
      <c r="T45" s="84">
        <v>0</v>
      </c>
      <c r="U45" s="84">
        <v>0</v>
      </c>
      <c r="V45" s="84">
        <v>0</v>
      </c>
      <c r="W45" s="84">
        <v>1</v>
      </c>
      <c r="X45" s="84">
        <v>1</v>
      </c>
    </row>
    <row r="46" spans="2:24" ht="16.8" customHeight="1" x14ac:dyDescent="0.3"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 t="s">
        <v>158</v>
      </c>
      <c r="O46" s="60"/>
      <c r="P46" s="60"/>
      <c r="Q46" s="60"/>
      <c r="R46" s="60"/>
      <c r="S46" s="60"/>
      <c r="T46" s="60"/>
      <c r="U46" s="60"/>
      <c r="V46" s="60"/>
      <c r="W46" s="60"/>
      <c r="X46" s="60"/>
    </row>
    <row r="47" spans="2:24" ht="15" customHeight="1" x14ac:dyDescent="0.3">
      <c r="B47" s="141" t="s">
        <v>169</v>
      </c>
      <c r="C47" s="141"/>
      <c r="D47" s="141"/>
      <c r="E47" s="141"/>
      <c r="F47" s="141"/>
      <c r="G47" s="141"/>
      <c r="H47" s="141"/>
      <c r="I47" s="141"/>
      <c r="J47" s="141"/>
      <c r="K47" s="141"/>
      <c r="L47" s="102"/>
      <c r="M47" s="102"/>
      <c r="N47" s="60" t="s">
        <v>171</v>
      </c>
      <c r="O47" s="60"/>
      <c r="P47" s="60"/>
      <c r="Q47" s="60"/>
      <c r="R47" s="60"/>
      <c r="S47" s="60"/>
      <c r="T47" s="60"/>
      <c r="U47" s="60"/>
      <c r="V47" s="60"/>
      <c r="W47" s="60"/>
      <c r="X47" s="60"/>
    </row>
    <row r="48" spans="2:24" ht="15" customHeight="1" x14ac:dyDescent="0.3">
      <c r="B48" s="142" t="s">
        <v>170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02"/>
      <c r="M48" s="10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</row>
    <row r="49" spans="2:24" ht="36" customHeight="1" x14ac:dyDescent="0.3">
      <c r="B49" s="104"/>
      <c r="C49" s="105"/>
      <c r="D49" s="106"/>
      <c r="E49" s="103" t="s">
        <v>159</v>
      </c>
      <c r="F49" s="103" t="s">
        <v>160</v>
      </c>
      <c r="G49" s="103" t="s">
        <v>161</v>
      </c>
      <c r="H49" s="103" t="s">
        <v>162</v>
      </c>
      <c r="I49" s="103" t="s">
        <v>163</v>
      </c>
      <c r="J49" s="103" t="s">
        <v>164</v>
      </c>
      <c r="K49" s="103" t="s">
        <v>98</v>
      </c>
      <c r="L49" s="102"/>
      <c r="M49" s="10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</row>
    <row r="50" spans="2:24" ht="16.8" customHeight="1" x14ac:dyDescent="0.3">
      <c r="B50" s="140" t="s">
        <v>168</v>
      </c>
      <c r="C50" s="140"/>
      <c r="D50" s="140"/>
      <c r="E50" s="84">
        <f t="shared" ref="E50:J50" si="0">C13+K13+S13+C24+K24+S24</f>
        <v>16</v>
      </c>
      <c r="F50" s="84">
        <f t="shared" si="0"/>
        <v>16</v>
      </c>
      <c r="G50" s="84">
        <f t="shared" si="0"/>
        <v>15</v>
      </c>
      <c r="H50" s="84">
        <f t="shared" si="0"/>
        <v>17</v>
      </c>
      <c r="I50" s="84">
        <f t="shared" si="0"/>
        <v>17</v>
      </c>
      <c r="J50" s="84">
        <f t="shared" si="0"/>
        <v>15</v>
      </c>
      <c r="K50" s="84">
        <f>SUM(E50:J50)</f>
        <v>96</v>
      </c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</row>
    <row r="51" spans="2:24" ht="16.8" customHeight="1" x14ac:dyDescent="0.3">
      <c r="B51" s="140" t="s">
        <v>167</v>
      </c>
      <c r="C51" s="140"/>
      <c r="D51" s="140"/>
      <c r="E51" s="84">
        <f>C34+K34+S34+C45+K45+S45</f>
        <v>12</v>
      </c>
      <c r="F51" s="84">
        <f>D34+L34+T34+D45+L45+T45</f>
        <v>15</v>
      </c>
      <c r="G51" s="84">
        <f>E34+M34+U34+E45+M45+U45</f>
        <v>15</v>
      </c>
      <c r="H51" s="84">
        <f>F34+N34+V34+F45+N45+V45</f>
        <v>12</v>
      </c>
      <c r="I51" s="84">
        <f>G34+O34+W34+G45+O45+W45</f>
        <v>13</v>
      </c>
      <c r="J51" s="84">
        <f>+H34+P34+X34+H45+P45+X45</f>
        <v>12</v>
      </c>
      <c r="K51" s="84">
        <f>SUM(E51:J51)</f>
        <v>79</v>
      </c>
      <c r="L51" s="60"/>
      <c r="M51" s="60"/>
      <c r="N51" s="107" t="s">
        <v>43</v>
      </c>
      <c r="O51" s="60"/>
      <c r="P51" s="60"/>
      <c r="Q51" s="60"/>
      <c r="R51" s="60"/>
      <c r="S51" s="60"/>
      <c r="T51" s="60"/>
      <c r="U51" s="60"/>
      <c r="V51" s="60"/>
      <c r="W51" s="60"/>
      <c r="X51" s="60"/>
    </row>
    <row r="52" spans="2:24" ht="16.8" customHeight="1" x14ac:dyDescent="0.3"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 t="s">
        <v>44</v>
      </c>
      <c r="O52" s="60"/>
      <c r="P52" s="60"/>
      <c r="Q52" s="60"/>
      <c r="R52" s="60"/>
      <c r="S52" s="60"/>
      <c r="T52" s="60"/>
      <c r="U52" s="60"/>
      <c r="V52" s="60"/>
      <c r="W52" s="60"/>
      <c r="X52" s="60"/>
    </row>
    <row r="53" spans="2:24" ht="16.8" customHeight="1" x14ac:dyDescent="0.3"/>
    <row r="54" spans="2:24" ht="16.8" customHeight="1" x14ac:dyDescent="0.3"/>
    <row r="55" spans="2:24" ht="16.8" customHeight="1" x14ac:dyDescent="0.3"/>
  </sheetData>
  <mergeCells count="19">
    <mergeCell ref="R36:X36"/>
    <mergeCell ref="B50:D50"/>
    <mergeCell ref="B51:D51"/>
    <mergeCell ref="B47:K47"/>
    <mergeCell ref="B48:K48"/>
    <mergeCell ref="B36:H36"/>
    <mergeCell ref="J36:P36"/>
    <mergeCell ref="B26:H26"/>
    <mergeCell ref="J26:P26"/>
    <mergeCell ref="R26:X26"/>
    <mergeCell ref="B1:X1"/>
    <mergeCell ref="B2:X2"/>
    <mergeCell ref="B3:X3"/>
    <mergeCell ref="B5:H5"/>
    <mergeCell ref="J5:P5"/>
    <mergeCell ref="R5:X5"/>
    <mergeCell ref="B15:H15"/>
    <mergeCell ref="J15:P15"/>
    <mergeCell ref="R15:X15"/>
  </mergeCells>
  <pageMargins left="0.51181102362204722" right="0.31496062992125984" top="0.35433070866141736" bottom="0.35433070866141736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6"/>
  <sheetViews>
    <sheetView workbookViewId="0">
      <selection sqref="A1:AL1"/>
    </sheetView>
  </sheetViews>
  <sheetFormatPr defaultRowHeight="14.4" x14ac:dyDescent="0.3"/>
  <cols>
    <col min="1" max="1" width="3.6640625" customWidth="1"/>
    <col min="2" max="2" width="3.88671875" customWidth="1"/>
    <col min="3" max="3" width="11" customWidth="1"/>
    <col min="4" max="34" width="3.5546875" customWidth="1"/>
    <col min="35" max="39" width="3.88671875" customWidth="1"/>
    <col min="40" max="40" width="1.88671875" customWidth="1"/>
    <col min="42" max="47" width="3.109375" customWidth="1"/>
    <col min="48" max="49" width="4.5546875" customWidth="1"/>
  </cols>
  <sheetData>
    <row r="1" spans="1:48" ht="18" x14ac:dyDescent="0.35">
      <c r="A1" s="169" t="s">
        <v>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</row>
    <row r="2" spans="1:48" x14ac:dyDescent="0.3">
      <c r="A2" s="170" t="s">
        <v>154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</row>
    <row r="3" spans="1:48" x14ac:dyDescent="0.3">
      <c r="A3" s="170" t="s">
        <v>230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</row>
    <row r="4" spans="1:48" x14ac:dyDescent="0.3">
      <c r="AP4" t="s">
        <v>78</v>
      </c>
      <c r="AQ4" t="s">
        <v>78</v>
      </c>
      <c r="AR4" t="s">
        <v>13</v>
      </c>
      <c r="AS4" t="s">
        <v>79</v>
      </c>
      <c r="AT4" t="s">
        <v>80</v>
      </c>
      <c r="AU4" t="s">
        <v>78</v>
      </c>
    </row>
    <row r="5" spans="1:48" x14ac:dyDescent="0.3">
      <c r="A5" s="161" t="s">
        <v>10</v>
      </c>
      <c r="B5" s="161" t="s">
        <v>41</v>
      </c>
      <c r="C5" s="161" t="s">
        <v>1</v>
      </c>
      <c r="D5" s="162" t="s">
        <v>8</v>
      </c>
      <c r="E5" s="162"/>
      <c r="F5" s="162"/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73" t="s">
        <v>15</v>
      </c>
      <c r="AJ5" s="174"/>
      <c r="AK5" s="174"/>
      <c r="AL5" s="174"/>
      <c r="AM5" s="175"/>
    </row>
    <row r="6" spans="1:48" x14ac:dyDescent="0.3">
      <c r="A6" s="161"/>
      <c r="B6" s="161"/>
      <c r="C6" s="161"/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9</v>
      </c>
      <c r="M6" s="10">
        <v>10</v>
      </c>
      <c r="N6" s="10">
        <v>11</v>
      </c>
      <c r="O6" s="10">
        <v>12</v>
      </c>
      <c r="P6" s="10">
        <v>13</v>
      </c>
      <c r="Q6" s="10">
        <v>14</v>
      </c>
      <c r="R6" s="10">
        <v>15</v>
      </c>
      <c r="S6" s="10">
        <v>16</v>
      </c>
      <c r="T6" s="10">
        <v>17</v>
      </c>
      <c r="U6" s="10">
        <v>18</v>
      </c>
      <c r="V6" s="10">
        <v>19</v>
      </c>
      <c r="W6" s="10">
        <v>20</v>
      </c>
      <c r="X6" s="10">
        <v>21</v>
      </c>
      <c r="Y6" s="10">
        <v>22</v>
      </c>
      <c r="Z6" s="10">
        <v>23</v>
      </c>
      <c r="AA6" s="10">
        <v>24</v>
      </c>
      <c r="AB6" s="10">
        <v>25</v>
      </c>
      <c r="AC6" s="10">
        <v>26</v>
      </c>
      <c r="AD6" s="10">
        <v>27</v>
      </c>
      <c r="AE6" s="10">
        <v>28</v>
      </c>
      <c r="AF6" s="10">
        <v>29</v>
      </c>
      <c r="AG6" s="10">
        <v>30</v>
      </c>
      <c r="AH6" s="10">
        <v>31</v>
      </c>
      <c r="AI6" s="11" t="s">
        <v>216</v>
      </c>
      <c r="AJ6" s="12" t="s">
        <v>16</v>
      </c>
      <c r="AK6" s="13" t="s">
        <v>35</v>
      </c>
      <c r="AL6" s="14" t="s">
        <v>17</v>
      </c>
      <c r="AM6" s="15" t="s">
        <v>34</v>
      </c>
    </row>
    <row r="7" spans="1:48" ht="15" customHeight="1" x14ac:dyDescent="0.3">
      <c r="A7" s="164">
        <v>2025</v>
      </c>
      <c r="B7" s="165" t="s">
        <v>9</v>
      </c>
      <c r="C7" s="67" t="s">
        <v>2</v>
      </c>
      <c r="D7" s="16" t="s">
        <v>14</v>
      </c>
      <c r="E7" s="16" t="s">
        <v>14</v>
      </c>
      <c r="F7" s="16" t="s">
        <v>14</v>
      </c>
      <c r="G7" s="16" t="s">
        <v>14</v>
      </c>
      <c r="H7" s="120" t="s">
        <v>215</v>
      </c>
      <c r="I7" s="120" t="s">
        <v>215</v>
      </c>
      <c r="J7" s="16" t="s">
        <v>14</v>
      </c>
      <c r="K7" s="16" t="s">
        <v>14</v>
      </c>
      <c r="L7" s="16" t="s">
        <v>14</v>
      </c>
      <c r="M7" s="16" t="s">
        <v>14</v>
      </c>
      <c r="N7" s="16" t="s">
        <v>14</v>
      </c>
      <c r="O7" s="120" t="s">
        <v>215</v>
      </c>
      <c r="P7" s="120" t="s">
        <v>215</v>
      </c>
      <c r="Q7" s="55" t="s">
        <v>87</v>
      </c>
      <c r="R7" s="17"/>
      <c r="S7" s="17"/>
      <c r="T7" s="17"/>
      <c r="U7" s="17"/>
      <c r="V7" s="120" t="s">
        <v>215</v>
      </c>
      <c r="W7" s="120" t="s">
        <v>215</v>
      </c>
      <c r="X7" s="114"/>
      <c r="Y7" s="114"/>
      <c r="Z7" s="114"/>
      <c r="AA7" s="114"/>
      <c r="AB7" s="114"/>
      <c r="AC7" s="120" t="s">
        <v>215</v>
      </c>
      <c r="AD7" s="120" t="s">
        <v>215</v>
      </c>
      <c r="AE7" s="68"/>
      <c r="AF7" s="68"/>
      <c r="AG7" s="68"/>
      <c r="AH7" s="68"/>
      <c r="AI7" s="18">
        <v>8</v>
      </c>
      <c r="AJ7" s="19">
        <v>9</v>
      </c>
      <c r="AK7" s="20">
        <v>5</v>
      </c>
      <c r="AL7" s="21">
        <v>9</v>
      </c>
      <c r="AM7" s="22">
        <f>SUM(AI7:AL7)</f>
        <v>31</v>
      </c>
      <c r="AP7">
        <v>2</v>
      </c>
      <c r="AQ7">
        <v>2</v>
      </c>
      <c r="AR7">
        <v>2</v>
      </c>
      <c r="AS7">
        <v>2</v>
      </c>
      <c r="AT7">
        <v>1</v>
      </c>
      <c r="AU7">
        <v>0</v>
      </c>
      <c r="AV7">
        <f t="shared" ref="AV7:AV12" si="0">SUM(AP7:AU7)</f>
        <v>9</v>
      </c>
    </row>
    <row r="8" spans="1:48" x14ac:dyDescent="0.3">
      <c r="A8" s="164"/>
      <c r="B8" s="165"/>
      <c r="C8" s="67" t="s">
        <v>3</v>
      </c>
      <c r="D8" s="68"/>
      <c r="E8" s="120" t="s">
        <v>215</v>
      </c>
      <c r="F8" s="120" t="s">
        <v>215</v>
      </c>
      <c r="G8" s="68"/>
      <c r="H8" s="68"/>
      <c r="I8" s="68"/>
      <c r="J8" s="68"/>
      <c r="K8" s="68"/>
      <c r="L8" s="120" t="s">
        <v>215</v>
      </c>
      <c r="M8" s="120" t="s">
        <v>215</v>
      </c>
      <c r="N8" s="68"/>
      <c r="O8" s="68"/>
      <c r="P8" s="68"/>
      <c r="Q8" s="16" t="s">
        <v>45</v>
      </c>
      <c r="R8" s="68"/>
      <c r="S8" s="120" t="s">
        <v>215</v>
      </c>
      <c r="T8" s="120" t="s">
        <v>215</v>
      </c>
      <c r="U8" s="68"/>
      <c r="V8" s="68"/>
      <c r="W8" s="68"/>
      <c r="X8" s="68"/>
      <c r="Y8" s="68"/>
      <c r="Z8" s="120" t="s">
        <v>215</v>
      </c>
      <c r="AA8" s="120" t="s">
        <v>215</v>
      </c>
      <c r="AB8" s="135" t="s">
        <v>302</v>
      </c>
      <c r="AC8" s="135" t="s">
        <v>302</v>
      </c>
      <c r="AD8" s="135" t="s">
        <v>302</v>
      </c>
      <c r="AE8" s="135" t="s">
        <v>302</v>
      </c>
      <c r="AF8" s="135" t="s">
        <v>302</v>
      </c>
      <c r="AG8" s="120" t="s">
        <v>215</v>
      </c>
      <c r="AH8" s="120" t="s">
        <v>215</v>
      </c>
      <c r="AI8" s="18">
        <v>10</v>
      </c>
      <c r="AJ8" s="19">
        <v>0</v>
      </c>
      <c r="AK8" s="20">
        <v>1</v>
      </c>
      <c r="AL8" s="21">
        <v>20</v>
      </c>
      <c r="AM8" s="22">
        <f t="shared" ref="AM8:AM12" si="1">SUM(AI8:AL8)</f>
        <v>31</v>
      </c>
      <c r="AP8">
        <v>4</v>
      </c>
      <c r="AQ8">
        <v>4</v>
      </c>
      <c r="AR8">
        <v>4</v>
      </c>
      <c r="AS8">
        <v>3</v>
      </c>
      <c r="AT8">
        <v>5</v>
      </c>
      <c r="AU8">
        <v>0</v>
      </c>
      <c r="AV8">
        <f t="shared" si="0"/>
        <v>20</v>
      </c>
    </row>
    <row r="9" spans="1:48" x14ac:dyDescent="0.3">
      <c r="A9" s="164"/>
      <c r="B9" s="165"/>
      <c r="C9" s="67" t="s">
        <v>4</v>
      </c>
      <c r="D9" s="68"/>
      <c r="E9" s="68"/>
      <c r="F9" s="68"/>
      <c r="G9" s="68"/>
      <c r="H9" s="24" t="s">
        <v>11</v>
      </c>
      <c r="I9" s="120" t="s">
        <v>215</v>
      </c>
      <c r="J9" s="120" t="s">
        <v>215</v>
      </c>
      <c r="K9" s="68"/>
      <c r="L9" s="68"/>
      <c r="M9" s="68"/>
      <c r="N9" s="68"/>
      <c r="O9" s="16" t="s">
        <v>45</v>
      </c>
      <c r="P9" s="120" t="s">
        <v>215</v>
      </c>
      <c r="Q9" s="120" t="s">
        <v>215</v>
      </c>
      <c r="R9" s="68"/>
      <c r="S9" s="68"/>
      <c r="T9" s="68"/>
      <c r="U9" s="68"/>
      <c r="V9" s="68"/>
      <c r="W9" s="120" t="s">
        <v>215</v>
      </c>
      <c r="X9" s="120" t="s">
        <v>215</v>
      </c>
      <c r="Y9" s="16" t="s">
        <v>157</v>
      </c>
      <c r="Z9" s="16" t="s">
        <v>157</v>
      </c>
      <c r="AA9" s="16" t="s">
        <v>157</v>
      </c>
      <c r="AB9" s="16" t="s">
        <v>157</v>
      </c>
      <c r="AC9" s="68"/>
      <c r="AD9" s="120" t="s">
        <v>215</v>
      </c>
      <c r="AE9" s="120" t="s">
        <v>215</v>
      </c>
      <c r="AF9" s="68"/>
      <c r="AG9" s="68"/>
      <c r="AH9" s="25"/>
      <c r="AI9" s="18">
        <v>8</v>
      </c>
      <c r="AJ9" s="19">
        <v>1</v>
      </c>
      <c r="AK9" s="20">
        <v>5</v>
      </c>
      <c r="AL9" s="21">
        <v>16</v>
      </c>
      <c r="AM9" s="22">
        <f t="shared" si="1"/>
        <v>30</v>
      </c>
      <c r="AP9">
        <v>3</v>
      </c>
      <c r="AQ9">
        <v>4</v>
      </c>
      <c r="AR9">
        <v>3</v>
      </c>
      <c r="AS9">
        <v>3</v>
      </c>
      <c r="AT9">
        <v>3</v>
      </c>
      <c r="AU9">
        <v>0</v>
      </c>
      <c r="AV9">
        <f t="shared" si="0"/>
        <v>16</v>
      </c>
    </row>
    <row r="10" spans="1:48" x14ac:dyDescent="0.3">
      <c r="A10" s="164"/>
      <c r="B10" s="165"/>
      <c r="C10" s="67" t="s">
        <v>5</v>
      </c>
      <c r="D10" s="68"/>
      <c r="E10" s="68"/>
      <c r="F10" s="68"/>
      <c r="G10" s="120" t="s">
        <v>215</v>
      </c>
      <c r="H10" s="120" t="s">
        <v>215</v>
      </c>
      <c r="I10" s="68"/>
      <c r="J10" s="68"/>
      <c r="K10" s="68"/>
      <c r="L10" s="68"/>
      <c r="M10" s="68"/>
      <c r="N10" s="120" t="s">
        <v>215</v>
      </c>
      <c r="O10" s="120" t="s">
        <v>215</v>
      </c>
      <c r="P10" s="68"/>
      <c r="Q10" s="68"/>
      <c r="R10" s="68"/>
      <c r="S10" s="68"/>
      <c r="T10" s="68"/>
      <c r="U10" s="120" t="s">
        <v>215</v>
      </c>
      <c r="V10" s="120" t="s">
        <v>215</v>
      </c>
      <c r="W10" s="68"/>
      <c r="X10" s="68"/>
      <c r="Y10" s="68"/>
      <c r="Z10" s="68"/>
      <c r="AA10" s="68"/>
      <c r="AB10" s="120" t="s">
        <v>215</v>
      </c>
      <c r="AC10" s="120" t="s">
        <v>215</v>
      </c>
      <c r="AD10" s="135" t="s">
        <v>302</v>
      </c>
      <c r="AE10" s="135" t="s">
        <v>302</v>
      </c>
      <c r="AF10" s="135" t="s">
        <v>302</v>
      </c>
      <c r="AG10" s="135" t="s">
        <v>302</v>
      </c>
      <c r="AH10" s="135" t="s">
        <v>302</v>
      </c>
      <c r="AI10" s="18">
        <v>8</v>
      </c>
      <c r="AJ10" s="19">
        <v>0</v>
      </c>
      <c r="AK10" s="20">
        <v>0</v>
      </c>
      <c r="AL10" s="21">
        <v>23</v>
      </c>
      <c r="AM10" s="22">
        <f t="shared" si="1"/>
        <v>31</v>
      </c>
      <c r="AP10">
        <v>4</v>
      </c>
      <c r="AQ10">
        <v>4</v>
      </c>
      <c r="AR10">
        <v>5</v>
      </c>
      <c r="AS10">
        <v>5</v>
      </c>
      <c r="AT10">
        <v>5</v>
      </c>
      <c r="AU10">
        <v>0</v>
      </c>
      <c r="AV10">
        <f t="shared" si="0"/>
        <v>23</v>
      </c>
    </row>
    <row r="11" spans="1:48" x14ac:dyDescent="0.3">
      <c r="A11" s="164"/>
      <c r="B11" s="165"/>
      <c r="C11" s="67" t="s">
        <v>6</v>
      </c>
      <c r="D11" s="120" t="s">
        <v>215</v>
      </c>
      <c r="E11" s="120" t="s">
        <v>215</v>
      </c>
      <c r="F11" s="68"/>
      <c r="G11" s="68"/>
      <c r="H11" s="68"/>
      <c r="I11" s="68"/>
      <c r="J11" s="68"/>
      <c r="K11" s="120" t="s">
        <v>215</v>
      </c>
      <c r="L11" s="120" t="s">
        <v>215</v>
      </c>
      <c r="M11" s="68"/>
      <c r="N11" s="68"/>
      <c r="O11" s="68"/>
      <c r="P11" s="68"/>
      <c r="Q11" s="68"/>
      <c r="R11" s="120" t="s">
        <v>215</v>
      </c>
      <c r="S11" s="120" t="s">
        <v>215</v>
      </c>
      <c r="T11" s="68"/>
      <c r="U11" s="68"/>
      <c r="V11" s="68"/>
      <c r="W11" s="68"/>
      <c r="X11" s="68"/>
      <c r="Y11" s="120" t="s">
        <v>215</v>
      </c>
      <c r="Z11" s="120" t="s">
        <v>215</v>
      </c>
      <c r="AA11" s="68"/>
      <c r="AB11" s="16" t="s">
        <v>45</v>
      </c>
      <c r="AC11" s="68"/>
      <c r="AD11" s="68"/>
      <c r="AE11" s="68"/>
      <c r="AF11" s="120" t="s">
        <v>215</v>
      </c>
      <c r="AG11" s="120" t="s">
        <v>215</v>
      </c>
      <c r="AH11" s="25"/>
      <c r="AI11" s="18">
        <v>10</v>
      </c>
      <c r="AJ11" s="26">
        <v>0</v>
      </c>
      <c r="AK11" s="20">
        <v>1</v>
      </c>
      <c r="AL11" s="21">
        <v>19</v>
      </c>
      <c r="AM11" s="22">
        <f t="shared" si="1"/>
        <v>30</v>
      </c>
      <c r="AP11">
        <v>4</v>
      </c>
      <c r="AQ11">
        <v>3</v>
      </c>
      <c r="AR11">
        <v>4</v>
      </c>
      <c r="AS11">
        <v>4</v>
      </c>
      <c r="AT11">
        <v>4</v>
      </c>
      <c r="AU11">
        <v>0</v>
      </c>
      <c r="AV11">
        <f t="shared" si="0"/>
        <v>19</v>
      </c>
    </row>
    <row r="12" spans="1:48" x14ac:dyDescent="0.3">
      <c r="A12" s="164"/>
      <c r="B12" s="165"/>
      <c r="C12" s="67" t="s">
        <v>7</v>
      </c>
      <c r="D12" s="135" t="s">
        <v>302</v>
      </c>
      <c r="E12" s="135" t="s">
        <v>302</v>
      </c>
      <c r="F12" s="135" t="s">
        <v>302</v>
      </c>
      <c r="G12" s="135" t="s">
        <v>302</v>
      </c>
      <c r="H12" s="135" t="s">
        <v>302</v>
      </c>
      <c r="I12" s="120" t="s">
        <v>215</v>
      </c>
      <c r="J12" s="120" t="s">
        <v>215</v>
      </c>
      <c r="K12" s="68" t="s">
        <v>205</v>
      </c>
      <c r="L12" s="68" t="s">
        <v>205</v>
      </c>
      <c r="M12" s="68" t="s">
        <v>205</v>
      </c>
      <c r="N12" s="68" t="s">
        <v>205</v>
      </c>
      <c r="O12" s="68" t="s">
        <v>205</v>
      </c>
      <c r="P12" s="120" t="s">
        <v>215</v>
      </c>
      <c r="Q12" s="120" t="s">
        <v>215</v>
      </c>
      <c r="R12" s="16" t="s">
        <v>205</v>
      </c>
      <c r="S12" s="16" t="s">
        <v>205</v>
      </c>
      <c r="T12" s="16" t="s">
        <v>205</v>
      </c>
      <c r="U12" s="16" t="s">
        <v>205</v>
      </c>
      <c r="V12" s="16" t="s">
        <v>205</v>
      </c>
      <c r="W12" s="120" t="s">
        <v>215</v>
      </c>
      <c r="X12" s="120" t="s">
        <v>215</v>
      </c>
      <c r="Y12" s="27" t="s">
        <v>33</v>
      </c>
      <c r="Z12" s="27" t="s">
        <v>33</v>
      </c>
      <c r="AA12" s="28" t="s">
        <v>13</v>
      </c>
      <c r="AB12" s="24" t="s">
        <v>11</v>
      </c>
      <c r="AC12" s="24" t="s">
        <v>11</v>
      </c>
      <c r="AD12" s="120" t="s">
        <v>215</v>
      </c>
      <c r="AE12" s="120" t="s">
        <v>215</v>
      </c>
      <c r="AF12" s="16" t="s">
        <v>14</v>
      </c>
      <c r="AG12" s="16" t="s">
        <v>14</v>
      </c>
      <c r="AH12" s="16" t="s">
        <v>14</v>
      </c>
      <c r="AI12" s="18">
        <v>8</v>
      </c>
      <c r="AJ12" s="26">
        <v>5</v>
      </c>
      <c r="AK12" s="20">
        <v>13</v>
      </c>
      <c r="AL12" s="21">
        <v>5</v>
      </c>
      <c r="AM12" s="22">
        <f t="shared" si="1"/>
        <v>31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0</v>
      </c>
      <c r="AV12">
        <f t="shared" si="0"/>
        <v>5</v>
      </c>
    </row>
    <row r="13" spans="1:48" x14ac:dyDescent="0.3">
      <c r="A13" s="160" t="s">
        <v>15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8">
        <f>SUM(AI7:AI12)</f>
        <v>52</v>
      </c>
      <c r="AJ13" s="26">
        <f t="shared" ref="AJ13:AM13" si="2">SUM(AJ7:AJ12)</f>
        <v>15</v>
      </c>
      <c r="AK13" s="20">
        <f t="shared" si="2"/>
        <v>25</v>
      </c>
      <c r="AL13" s="21">
        <f t="shared" si="2"/>
        <v>92</v>
      </c>
      <c r="AM13" s="22">
        <f t="shared" si="2"/>
        <v>184</v>
      </c>
      <c r="AP13">
        <f>SUM(AP6:AP12)</f>
        <v>18</v>
      </c>
      <c r="AQ13">
        <f t="shared" ref="AQ13:AV13" si="3">SUM(AQ6:AQ12)</f>
        <v>18</v>
      </c>
      <c r="AR13">
        <f t="shared" si="3"/>
        <v>19</v>
      </c>
      <c r="AS13">
        <f t="shared" si="3"/>
        <v>18</v>
      </c>
      <c r="AT13">
        <f t="shared" si="3"/>
        <v>19</v>
      </c>
      <c r="AU13">
        <f t="shared" si="3"/>
        <v>0</v>
      </c>
      <c r="AV13">
        <f t="shared" si="3"/>
        <v>92</v>
      </c>
    </row>
    <row r="14" spans="1:48" ht="8.25" customHeight="1" x14ac:dyDescent="0.3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</row>
    <row r="15" spans="1:48" x14ac:dyDescent="0.3">
      <c r="A15" s="161" t="s">
        <v>10</v>
      </c>
      <c r="B15" s="161" t="s">
        <v>41</v>
      </c>
      <c r="C15" s="161" t="s">
        <v>1</v>
      </c>
      <c r="D15" s="162" t="s">
        <v>8</v>
      </c>
      <c r="E15" s="162"/>
      <c r="F15" s="162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73" t="s">
        <v>15</v>
      </c>
      <c r="AJ15" s="174"/>
      <c r="AK15" s="174"/>
      <c r="AL15" s="174"/>
      <c r="AM15" s="175"/>
      <c r="AP15" t="s">
        <v>78</v>
      </c>
      <c r="AQ15" t="s">
        <v>78</v>
      </c>
      <c r="AR15" t="s">
        <v>13</v>
      </c>
      <c r="AS15" t="s">
        <v>79</v>
      </c>
      <c r="AT15" t="s">
        <v>80</v>
      </c>
      <c r="AU15" t="s">
        <v>78</v>
      </c>
      <c r="AV15" t="s">
        <v>85</v>
      </c>
    </row>
    <row r="16" spans="1:48" x14ac:dyDescent="0.3">
      <c r="A16" s="161"/>
      <c r="B16" s="161"/>
      <c r="C16" s="161"/>
      <c r="D16" s="10">
        <v>1</v>
      </c>
      <c r="E16" s="10">
        <v>2</v>
      </c>
      <c r="F16" s="10">
        <v>3</v>
      </c>
      <c r="G16" s="10">
        <v>4</v>
      </c>
      <c r="H16" s="10">
        <v>5</v>
      </c>
      <c r="I16" s="10">
        <v>6</v>
      </c>
      <c r="J16" s="10">
        <v>7</v>
      </c>
      <c r="K16" s="10">
        <v>8</v>
      </c>
      <c r="L16" s="10">
        <v>9</v>
      </c>
      <c r="M16" s="10">
        <v>10</v>
      </c>
      <c r="N16" s="10">
        <v>11</v>
      </c>
      <c r="O16" s="10">
        <v>12</v>
      </c>
      <c r="P16" s="10">
        <v>13</v>
      </c>
      <c r="Q16" s="10">
        <v>14</v>
      </c>
      <c r="R16" s="10">
        <v>15</v>
      </c>
      <c r="S16" s="10">
        <v>16</v>
      </c>
      <c r="T16" s="10">
        <v>17</v>
      </c>
      <c r="U16" s="10">
        <v>18</v>
      </c>
      <c r="V16" s="10">
        <v>19</v>
      </c>
      <c r="W16" s="10">
        <v>20</v>
      </c>
      <c r="X16" s="10">
        <v>21</v>
      </c>
      <c r="Y16" s="10">
        <v>22</v>
      </c>
      <c r="Z16" s="10">
        <v>23</v>
      </c>
      <c r="AA16" s="10">
        <v>24</v>
      </c>
      <c r="AB16" s="10">
        <v>25</v>
      </c>
      <c r="AC16" s="10">
        <v>26</v>
      </c>
      <c r="AD16" s="10">
        <v>27</v>
      </c>
      <c r="AE16" s="10">
        <v>28</v>
      </c>
      <c r="AF16" s="10">
        <v>29</v>
      </c>
      <c r="AG16" s="10">
        <v>30</v>
      </c>
      <c r="AH16" s="10">
        <v>31</v>
      </c>
      <c r="AI16" s="30" t="s">
        <v>42</v>
      </c>
      <c r="AJ16" s="12" t="s">
        <v>16</v>
      </c>
      <c r="AK16" s="13" t="s">
        <v>35</v>
      </c>
      <c r="AL16" s="14" t="s">
        <v>17</v>
      </c>
      <c r="AM16" s="15" t="s">
        <v>34</v>
      </c>
    </row>
    <row r="17" spans="1:50" ht="15" customHeight="1" x14ac:dyDescent="0.3">
      <c r="A17" s="164">
        <v>2026</v>
      </c>
      <c r="B17" s="165" t="s">
        <v>18</v>
      </c>
      <c r="C17" s="67" t="s">
        <v>19</v>
      </c>
      <c r="D17" s="24" t="s">
        <v>11</v>
      </c>
      <c r="E17" s="16" t="s">
        <v>14</v>
      </c>
      <c r="F17" s="120" t="s">
        <v>215</v>
      </c>
      <c r="G17" s="120" t="s">
        <v>215</v>
      </c>
      <c r="H17" s="16" t="s">
        <v>14</v>
      </c>
      <c r="I17" s="16" t="s">
        <v>14</v>
      </c>
      <c r="J17" s="16" t="s">
        <v>14</v>
      </c>
      <c r="K17" s="16" t="s">
        <v>14</v>
      </c>
      <c r="L17" s="16" t="s">
        <v>14</v>
      </c>
      <c r="M17" s="120" t="s">
        <v>215</v>
      </c>
      <c r="N17" s="120" t="s">
        <v>215</v>
      </c>
      <c r="O17" s="55" t="s">
        <v>87</v>
      </c>
      <c r="P17" s="31"/>
      <c r="Q17" s="31"/>
      <c r="R17" s="31"/>
      <c r="S17" s="24" t="s">
        <v>11</v>
      </c>
      <c r="T17" s="120" t="s">
        <v>215</v>
      </c>
      <c r="U17" s="120" t="s">
        <v>215</v>
      </c>
      <c r="V17" s="16" t="s">
        <v>45</v>
      </c>
      <c r="W17" s="31"/>
      <c r="X17" s="31"/>
      <c r="Y17" s="31"/>
      <c r="Z17" s="31"/>
      <c r="AA17" s="120" t="s">
        <v>215</v>
      </c>
      <c r="AB17" s="120" t="s">
        <v>215</v>
      </c>
      <c r="AC17" s="31"/>
      <c r="AD17" s="31"/>
      <c r="AE17" s="31"/>
      <c r="AF17" s="31"/>
      <c r="AG17" s="31"/>
      <c r="AH17" s="120" t="s">
        <v>215</v>
      </c>
      <c r="AI17" s="32">
        <v>9</v>
      </c>
      <c r="AJ17" s="19">
        <v>8</v>
      </c>
      <c r="AK17" s="20">
        <v>2</v>
      </c>
      <c r="AL17" s="21">
        <v>12</v>
      </c>
      <c r="AM17" s="22">
        <f>SUM(AI17:AL17)</f>
        <v>31</v>
      </c>
      <c r="AP17">
        <v>1</v>
      </c>
      <c r="AQ17">
        <v>3</v>
      </c>
      <c r="AR17">
        <v>3</v>
      </c>
      <c r="AS17">
        <v>3</v>
      </c>
      <c r="AT17">
        <v>2</v>
      </c>
      <c r="AU17">
        <v>0</v>
      </c>
      <c r="AV17">
        <f t="shared" ref="AV17:AV22" si="4">SUM(AP17:AU17)</f>
        <v>12</v>
      </c>
    </row>
    <row r="18" spans="1:50" x14ac:dyDescent="0.3">
      <c r="A18" s="164"/>
      <c r="B18" s="165"/>
      <c r="C18" s="67" t="s">
        <v>20</v>
      </c>
      <c r="D18" s="120" t="s">
        <v>215</v>
      </c>
      <c r="E18" s="31"/>
      <c r="F18" s="31"/>
      <c r="G18" s="31"/>
      <c r="H18" s="31"/>
      <c r="I18" s="31"/>
      <c r="J18" s="120" t="s">
        <v>215</v>
      </c>
      <c r="K18" s="120" t="s">
        <v>215</v>
      </c>
      <c r="L18" s="31"/>
      <c r="M18" s="31"/>
      <c r="N18" s="31"/>
      <c r="O18" s="31"/>
      <c r="P18" s="31"/>
      <c r="Q18" s="120" t="s">
        <v>215</v>
      </c>
      <c r="R18" s="120" t="s">
        <v>215</v>
      </c>
      <c r="S18" s="31"/>
      <c r="T18" s="24" t="s">
        <v>11</v>
      </c>
      <c r="U18" s="31"/>
      <c r="V18" s="31"/>
      <c r="W18" s="23" t="s">
        <v>12</v>
      </c>
      <c r="X18" s="120" t="s">
        <v>215</v>
      </c>
      <c r="Y18" s="120" t="s">
        <v>215</v>
      </c>
      <c r="Z18" s="23" t="s">
        <v>12</v>
      </c>
      <c r="AA18" s="135" t="s">
        <v>302</v>
      </c>
      <c r="AB18" s="135" t="s">
        <v>302</v>
      </c>
      <c r="AC18" s="135" t="s">
        <v>302</v>
      </c>
      <c r="AD18" s="135" t="s">
        <v>302</v>
      </c>
      <c r="AE18" s="120" t="s">
        <v>215</v>
      </c>
      <c r="AF18" s="33"/>
      <c r="AG18" s="33"/>
      <c r="AH18" s="33"/>
      <c r="AI18" s="32">
        <v>8</v>
      </c>
      <c r="AJ18" s="19">
        <v>3</v>
      </c>
      <c r="AK18" s="20">
        <v>0</v>
      </c>
      <c r="AL18" s="21">
        <v>17</v>
      </c>
      <c r="AM18" s="22">
        <f t="shared" ref="AM18:AM22" si="5">SUM(AI18:AL18)</f>
        <v>28</v>
      </c>
      <c r="AP18">
        <v>3</v>
      </c>
      <c r="AQ18">
        <v>4</v>
      </c>
      <c r="AR18">
        <v>4</v>
      </c>
      <c r="AS18">
        <v>3</v>
      </c>
      <c r="AT18">
        <v>3</v>
      </c>
      <c r="AU18">
        <v>0</v>
      </c>
      <c r="AV18">
        <f t="shared" si="4"/>
        <v>17</v>
      </c>
    </row>
    <row r="19" spans="1:50" x14ac:dyDescent="0.3">
      <c r="A19" s="164"/>
      <c r="B19" s="165"/>
      <c r="C19" s="67" t="s">
        <v>21</v>
      </c>
      <c r="D19" s="120" t="s">
        <v>215</v>
      </c>
      <c r="E19" s="31"/>
      <c r="F19" s="31"/>
      <c r="G19" s="31"/>
      <c r="H19" s="31"/>
      <c r="I19" s="31"/>
      <c r="J19" s="120" t="s">
        <v>215</v>
      </c>
      <c r="K19" s="120" t="s">
        <v>215</v>
      </c>
      <c r="L19" s="16" t="s">
        <v>207</v>
      </c>
      <c r="M19" s="16" t="s">
        <v>207</v>
      </c>
      <c r="N19" s="16" t="s">
        <v>207</v>
      </c>
      <c r="O19" s="16" t="s">
        <v>207</v>
      </c>
      <c r="P19" s="16" t="s">
        <v>207</v>
      </c>
      <c r="Q19" s="120" t="s">
        <v>215</v>
      </c>
      <c r="R19" s="120" t="s">
        <v>215</v>
      </c>
      <c r="S19" s="23" t="s">
        <v>12</v>
      </c>
      <c r="T19" s="23" t="s">
        <v>12</v>
      </c>
      <c r="U19" s="23" t="s">
        <v>12</v>
      </c>
      <c r="V19" s="24" t="s">
        <v>11</v>
      </c>
      <c r="W19" s="23" t="s">
        <v>12</v>
      </c>
      <c r="X19" s="120" t="s">
        <v>215</v>
      </c>
      <c r="Y19" s="120" t="s">
        <v>215</v>
      </c>
      <c r="Z19" s="23" t="s">
        <v>12</v>
      </c>
      <c r="AA19" s="23" t="s">
        <v>12</v>
      </c>
      <c r="AB19" s="23" t="s">
        <v>12</v>
      </c>
      <c r="AC19" s="23" t="s">
        <v>12</v>
      </c>
      <c r="AD19" s="23" t="s">
        <v>12</v>
      </c>
      <c r="AE19" s="120" t="s">
        <v>215</v>
      </c>
      <c r="AF19" s="120" t="s">
        <v>215</v>
      </c>
      <c r="AG19" s="31"/>
      <c r="AH19" s="31"/>
      <c r="AI19" s="32">
        <v>9</v>
      </c>
      <c r="AJ19" s="19">
        <v>10</v>
      </c>
      <c r="AK19" s="20">
        <v>5</v>
      </c>
      <c r="AL19" s="21">
        <v>7</v>
      </c>
      <c r="AM19" s="22">
        <f t="shared" si="5"/>
        <v>31</v>
      </c>
      <c r="AP19">
        <v>2</v>
      </c>
      <c r="AQ19">
        <v>2</v>
      </c>
      <c r="AR19">
        <v>1</v>
      </c>
      <c r="AS19">
        <v>1</v>
      </c>
      <c r="AT19">
        <v>1</v>
      </c>
      <c r="AU19">
        <v>0</v>
      </c>
      <c r="AV19">
        <f t="shared" si="4"/>
        <v>7</v>
      </c>
    </row>
    <row r="20" spans="1:50" x14ac:dyDescent="0.3">
      <c r="A20" s="164"/>
      <c r="B20" s="165"/>
      <c r="C20" s="67" t="s">
        <v>22</v>
      </c>
      <c r="D20" s="31"/>
      <c r="E20" s="31"/>
      <c r="F20" s="24" t="s">
        <v>11</v>
      </c>
      <c r="G20" s="120" t="s">
        <v>215</v>
      </c>
      <c r="H20" s="120" t="s">
        <v>215</v>
      </c>
      <c r="I20" s="31"/>
      <c r="J20" s="31"/>
      <c r="K20" s="31"/>
      <c r="L20" s="31"/>
      <c r="M20" s="31"/>
      <c r="N20" s="120" t="s">
        <v>215</v>
      </c>
      <c r="O20" s="120" t="s">
        <v>215</v>
      </c>
      <c r="P20" s="135" t="s">
        <v>302</v>
      </c>
      <c r="Q20" s="135" t="s">
        <v>302</v>
      </c>
      <c r="R20" s="135" t="s">
        <v>302</v>
      </c>
      <c r="S20" s="135" t="s">
        <v>302</v>
      </c>
      <c r="T20" s="135" t="s">
        <v>302</v>
      </c>
      <c r="U20" s="120" t="s">
        <v>215</v>
      </c>
      <c r="V20" s="120" t="s">
        <v>215</v>
      </c>
      <c r="W20" s="123" t="s">
        <v>205</v>
      </c>
      <c r="X20" s="123" t="s">
        <v>205</v>
      </c>
      <c r="Y20" s="123" t="s">
        <v>205</v>
      </c>
      <c r="Z20" s="123" t="s">
        <v>205</v>
      </c>
      <c r="AA20" s="123" t="s">
        <v>205</v>
      </c>
      <c r="AB20" s="120" t="s">
        <v>215</v>
      </c>
      <c r="AC20" s="120" t="s">
        <v>215</v>
      </c>
      <c r="AD20" s="124" t="s">
        <v>205</v>
      </c>
      <c r="AE20" s="124" t="s">
        <v>205</v>
      </c>
      <c r="AF20" s="124" t="s">
        <v>205</v>
      </c>
      <c r="AG20" s="124" t="s">
        <v>205</v>
      </c>
      <c r="AH20" s="33"/>
      <c r="AI20" s="32">
        <v>8</v>
      </c>
      <c r="AJ20" s="26">
        <v>1</v>
      </c>
      <c r="AK20" s="20">
        <v>0</v>
      </c>
      <c r="AL20" s="21">
        <v>21</v>
      </c>
      <c r="AM20" s="22">
        <f t="shared" si="5"/>
        <v>30</v>
      </c>
      <c r="AP20">
        <v>4</v>
      </c>
      <c r="AQ20">
        <v>4</v>
      </c>
      <c r="AR20">
        <v>4</v>
      </c>
      <c r="AS20">
        <v>5</v>
      </c>
      <c r="AT20">
        <v>4</v>
      </c>
      <c r="AU20">
        <v>0</v>
      </c>
      <c r="AV20">
        <f t="shared" si="4"/>
        <v>21</v>
      </c>
    </row>
    <row r="21" spans="1:50" x14ac:dyDescent="0.3">
      <c r="A21" s="164"/>
      <c r="B21" s="165"/>
      <c r="C21" s="67" t="s">
        <v>23</v>
      </c>
      <c r="D21" s="24" t="s">
        <v>11</v>
      </c>
      <c r="E21" s="120" t="s">
        <v>215</v>
      </c>
      <c r="F21" s="120" t="s">
        <v>215</v>
      </c>
      <c r="G21" s="112"/>
      <c r="H21" s="112"/>
      <c r="I21" s="112"/>
      <c r="J21" s="112"/>
      <c r="K21" s="112"/>
      <c r="L21" s="120" t="s">
        <v>215</v>
      </c>
      <c r="M21" s="120" t="s">
        <v>215</v>
      </c>
      <c r="N21" s="112" t="s">
        <v>231</v>
      </c>
      <c r="O21" s="112" t="s">
        <v>231</v>
      </c>
      <c r="P21" s="112" t="s">
        <v>231</v>
      </c>
      <c r="Q21" s="112" t="s">
        <v>231</v>
      </c>
      <c r="R21" s="112" t="s">
        <v>231</v>
      </c>
      <c r="S21" s="120" t="s">
        <v>215</v>
      </c>
      <c r="T21" s="120" t="s">
        <v>215</v>
      </c>
      <c r="U21" s="125" t="s">
        <v>231</v>
      </c>
      <c r="V21" s="125" t="s">
        <v>231</v>
      </c>
      <c r="W21" s="125" t="s">
        <v>231</v>
      </c>
      <c r="X21" s="125" t="s">
        <v>231</v>
      </c>
      <c r="Y21" s="125" t="s">
        <v>231</v>
      </c>
      <c r="Z21" s="120" t="s">
        <v>215</v>
      </c>
      <c r="AA21" s="120" t="s">
        <v>215</v>
      </c>
      <c r="AB21" s="68"/>
      <c r="AC21" s="24" t="s">
        <v>11</v>
      </c>
      <c r="AD21" s="24" t="s">
        <v>11</v>
      </c>
      <c r="AE21" s="68"/>
      <c r="AF21" s="68"/>
      <c r="AG21" s="120" t="s">
        <v>215</v>
      </c>
      <c r="AH21" s="120" t="s">
        <v>215</v>
      </c>
      <c r="AI21" s="32">
        <v>10</v>
      </c>
      <c r="AJ21" s="26">
        <v>3</v>
      </c>
      <c r="AK21" s="20">
        <v>5</v>
      </c>
      <c r="AL21" s="21">
        <v>13</v>
      </c>
      <c r="AM21" s="22">
        <f t="shared" si="5"/>
        <v>31</v>
      </c>
      <c r="AP21">
        <v>3</v>
      </c>
      <c r="AQ21">
        <v>2</v>
      </c>
      <c r="AR21">
        <v>2</v>
      </c>
      <c r="AS21">
        <v>3</v>
      </c>
      <c r="AT21">
        <v>3</v>
      </c>
      <c r="AU21">
        <v>0</v>
      </c>
      <c r="AV21">
        <f t="shared" si="4"/>
        <v>13</v>
      </c>
    </row>
    <row r="22" spans="1:50" ht="14.4" customHeight="1" x14ac:dyDescent="0.3">
      <c r="A22" s="164"/>
      <c r="B22" s="165"/>
      <c r="C22" s="67" t="s">
        <v>24</v>
      </c>
      <c r="D22" s="24" t="s">
        <v>11</v>
      </c>
      <c r="E22" s="135" t="s">
        <v>302</v>
      </c>
      <c r="F22" s="135" t="s">
        <v>302</v>
      </c>
      <c r="G22" s="135" t="s">
        <v>302</v>
      </c>
      <c r="H22" s="135" t="s">
        <v>302</v>
      </c>
      <c r="I22" s="120" t="s">
        <v>215</v>
      </c>
      <c r="J22" s="120" t="s">
        <v>215</v>
      </c>
      <c r="K22" s="68" t="s">
        <v>205</v>
      </c>
      <c r="L22" s="68" t="s">
        <v>205</v>
      </c>
      <c r="M22" s="68" t="s">
        <v>205</v>
      </c>
      <c r="N22" s="68" t="s">
        <v>205</v>
      </c>
      <c r="O22" s="68" t="s">
        <v>205</v>
      </c>
      <c r="P22" s="120" t="s">
        <v>215</v>
      </c>
      <c r="Q22" s="120" t="s">
        <v>215</v>
      </c>
      <c r="R22" s="16" t="s">
        <v>205</v>
      </c>
      <c r="S22" s="24" t="s">
        <v>11</v>
      </c>
      <c r="T22" s="16" t="s">
        <v>205</v>
      </c>
      <c r="U22" s="16" t="s">
        <v>205</v>
      </c>
      <c r="V22" s="16" t="s">
        <v>205</v>
      </c>
      <c r="W22" s="120" t="s">
        <v>215</v>
      </c>
      <c r="X22" s="120" t="s">
        <v>215</v>
      </c>
      <c r="Y22" s="27" t="s">
        <v>33</v>
      </c>
      <c r="Z22" s="27" t="s">
        <v>33</v>
      </c>
      <c r="AA22" s="27" t="s">
        <v>33</v>
      </c>
      <c r="AB22" s="27" t="s">
        <v>33</v>
      </c>
      <c r="AC22" s="28" t="s">
        <v>13</v>
      </c>
      <c r="AD22" s="120" t="s">
        <v>215</v>
      </c>
      <c r="AE22" s="120" t="s">
        <v>215</v>
      </c>
      <c r="AF22" s="16" t="s">
        <v>14</v>
      </c>
      <c r="AG22" s="16" t="s">
        <v>14</v>
      </c>
      <c r="AH22" s="33"/>
      <c r="AI22" s="32">
        <v>8</v>
      </c>
      <c r="AJ22" s="26">
        <v>4</v>
      </c>
      <c r="AK22" s="20">
        <v>14</v>
      </c>
      <c r="AL22" s="21">
        <v>4</v>
      </c>
      <c r="AM22" s="22">
        <f t="shared" si="5"/>
        <v>30</v>
      </c>
      <c r="AP22">
        <v>0</v>
      </c>
      <c r="AQ22">
        <v>1</v>
      </c>
      <c r="AR22">
        <v>1</v>
      </c>
      <c r="AS22">
        <v>1</v>
      </c>
      <c r="AT22">
        <v>1</v>
      </c>
      <c r="AU22">
        <v>0</v>
      </c>
      <c r="AV22">
        <f t="shared" si="4"/>
        <v>4</v>
      </c>
    </row>
    <row r="23" spans="1:50" x14ac:dyDescent="0.3">
      <c r="A23" s="160" t="s">
        <v>15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32">
        <f>SUM(AI17:AI22)</f>
        <v>52</v>
      </c>
      <c r="AJ23" s="26">
        <f t="shared" ref="AJ23:AM23" si="6">SUM(AJ17:AJ22)</f>
        <v>29</v>
      </c>
      <c r="AK23" s="20">
        <f t="shared" si="6"/>
        <v>26</v>
      </c>
      <c r="AL23" s="21">
        <f t="shared" si="6"/>
        <v>74</v>
      </c>
      <c r="AM23" s="22">
        <f t="shared" si="6"/>
        <v>181</v>
      </c>
    </row>
    <row r="24" spans="1:50" x14ac:dyDescent="0.3">
      <c r="A24" s="166" t="s">
        <v>25</v>
      </c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32">
        <f>AI23+AI13</f>
        <v>104</v>
      </c>
      <c r="AJ24" s="26">
        <f t="shared" ref="AJ24:AL24" si="7">AJ23+AJ13</f>
        <v>44</v>
      </c>
      <c r="AK24" s="20">
        <f t="shared" si="7"/>
        <v>51</v>
      </c>
      <c r="AL24" s="21">
        <f t="shared" si="7"/>
        <v>166</v>
      </c>
      <c r="AM24" s="22">
        <f>AM23+AM13</f>
        <v>365</v>
      </c>
      <c r="AP24">
        <f>SUM(AP17:AP23)</f>
        <v>13</v>
      </c>
      <c r="AQ24">
        <f t="shared" ref="AQ24:AV24" si="8">SUM(AQ17:AQ23)</f>
        <v>16</v>
      </c>
      <c r="AR24">
        <f t="shared" si="8"/>
        <v>15</v>
      </c>
      <c r="AS24">
        <f t="shared" si="8"/>
        <v>16</v>
      </c>
      <c r="AT24">
        <f t="shared" si="8"/>
        <v>14</v>
      </c>
      <c r="AU24">
        <f t="shared" si="8"/>
        <v>0</v>
      </c>
      <c r="AV24">
        <f t="shared" si="8"/>
        <v>74</v>
      </c>
    </row>
    <row r="26" spans="1:50" x14ac:dyDescent="0.3">
      <c r="B26" s="1" t="s">
        <v>26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3"/>
      <c r="AF26" t="s">
        <v>229</v>
      </c>
    </row>
    <row r="27" spans="1:50" ht="13.5" customHeight="1" x14ac:dyDescent="0.3">
      <c r="B27" s="4" t="s">
        <v>213</v>
      </c>
      <c r="K27" s="163" t="s">
        <v>214</v>
      </c>
      <c r="L27" s="163"/>
      <c r="N27" t="s">
        <v>236</v>
      </c>
      <c r="Z27" s="176" t="s">
        <v>205</v>
      </c>
      <c r="AA27" s="177"/>
      <c r="AC27" s="5"/>
      <c r="AF27" t="s">
        <v>30</v>
      </c>
      <c r="AR27">
        <f>AP24+AP13</f>
        <v>31</v>
      </c>
      <c r="AS27">
        <f t="shared" ref="AS27:AX27" si="9">AQ24+AQ13</f>
        <v>34</v>
      </c>
      <c r="AT27">
        <f t="shared" si="9"/>
        <v>34</v>
      </c>
      <c r="AU27">
        <f t="shared" si="9"/>
        <v>34</v>
      </c>
      <c r="AV27">
        <f t="shared" si="9"/>
        <v>33</v>
      </c>
      <c r="AW27">
        <f t="shared" si="9"/>
        <v>0</v>
      </c>
      <c r="AX27">
        <f t="shared" si="9"/>
        <v>166</v>
      </c>
    </row>
    <row r="28" spans="1:50" ht="13.5" customHeight="1" x14ac:dyDescent="0.3">
      <c r="B28" s="4" t="s">
        <v>299</v>
      </c>
      <c r="K28" s="172" t="s">
        <v>87</v>
      </c>
      <c r="L28" s="172"/>
      <c r="N28" t="s">
        <v>237</v>
      </c>
      <c r="Z28" s="178" t="s">
        <v>205</v>
      </c>
      <c r="AA28" s="179"/>
      <c r="AC28" s="5"/>
      <c r="AF28" t="s">
        <v>155</v>
      </c>
    </row>
    <row r="29" spans="1:50" ht="13.5" customHeight="1" x14ac:dyDescent="0.3">
      <c r="B29" s="4" t="s">
        <v>28</v>
      </c>
      <c r="K29" s="171" t="s">
        <v>11</v>
      </c>
      <c r="L29" s="171"/>
      <c r="N29" t="s">
        <v>206</v>
      </c>
      <c r="Y29" s="5"/>
      <c r="Z29" s="180" t="s">
        <v>207</v>
      </c>
      <c r="AA29" s="181"/>
      <c r="AC29" s="5"/>
      <c r="AX29">
        <f>AX27/6</f>
        <v>27.666666666666668</v>
      </c>
    </row>
    <row r="30" spans="1:50" ht="13.5" customHeight="1" x14ac:dyDescent="0.3">
      <c r="B30" s="4" t="s">
        <v>29</v>
      </c>
      <c r="K30" s="159" t="s">
        <v>14</v>
      </c>
      <c r="L30" s="159"/>
      <c r="N30" s="5" t="s">
        <v>31</v>
      </c>
      <c r="O30" s="4"/>
      <c r="Z30" s="167" t="s">
        <v>12</v>
      </c>
      <c r="AA30" s="168"/>
      <c r="AC30" s="5"/>
    </row>
    <row r="31" spans="1:50" ht="13.5" customHeight="1" x14ac:dyDescent="0.3">
      <c r="B31" s="4" t="s">
        <v>208</v>
      </c>
      <c r="K31" s="182"/>
      <c r="L31" s="182"/>
      <c r="N31" t="s">
        <v>301</v>
      </c>
      <c r="Z31" s="149" t="s">
        <v>302</v>
      </c>
      <c r="AA31" s="150"/>
      <c r="AC31" s="5"/>
    </row>
    <row r="32" spans="1:50" ht="13.5" customHeight="1" x14ac:dyDescent="0.3">
      <c r="B32" s="4" t="s">
        <v>209</v>
      </c>
      <c r="K32" s="183"/>
      <c r="L32" s="183"/>
      <c r="N32" t="s">
        <v>27</v>
      </c>
      <c r="Z32" s="151" t="s">
        <v>13</v>
      </c>
      <c r="AA32" s="152"/>
      <c r="AC32" s="5"/>
    </row>
    <row r="33" spans="2:32" ht="13.5" customHeight="1" x14ac:dyDescent="0.3">
      <c r="B33" s="4" t="s">
        <v>232</v>
      </c>
      <c r="K33" s="187" t="s">
        <v>231</v>
      </c>
      <c r="L33" s="187"/>
      <c r="N33" t="s">
        <v>32</v>
      </c>
      <c r="Z33" s="153" t="s">
        <v>33</v>
      </c>
      <c r="AA33" s="154"/>
      <c r="AC33" s="5"/>
    </row>
    <row r="34" spans="2:32" ht="13.5" customHeight="1" x14ac:dyDescent="0.3">
      <c r="B34" s="4" t="s">
        <v>233</v>
      </c>
      <c r="K34" s="184" t="s">
        <v>231</v>
      </c>
      <c r="L34" s="184"/>
      <c r="N34" t="s">
        <v>36</v>
      </c>
      <c r="Z34" s="155" t="s">
        <v>42</v>
      </c>
      <c r="AA34" s="156"/>
      <c r="AC34" s="5"/>
    </row>
    <row r="35" spans="2:32" ht="13.5" customHeight="1" x14ac:dyDescent="0.3">
      <c r="B35" s="4" t="s">
        <v>81</v>
      </c>
      <c r="K35" s="185" t="s">
        <v>45</v>
      </c>
      <c r="L35" s="186"/>
      <c r="N35" t="s">
        <v>37</v>
      </c>
      <c r="Z35" s="157" t="s">
        <v>16</v>
      </c>
      <c r="AA35" s="158"/>
      <c r="AC35" s="5"/>
      <c r="AF35" s="8" t="s">
        <v>43</v>
      </c>
    </row>
    <row r="36" spans="2:32" ht="13.5" customHeight="1" x14ac:dyDescent="0.3">
      <c r="B36" s="4" t="s">
        <v>156</v>
      </c>
      <c r="K36" s="185" t="s">
        <v>157</v>
      </c>
      <c r="L36" s="186"/>
      <c r="N36" t="s">
        <v>38</v>
      </c>
      <c r="Z36" s="143" t="s">
        <v>35</v>
      </c>
      <c r="AA36" s="144"/>
      <c r="AC36" s="5"/>
      <c r="AF36" t="s">
        <v>44</v>
      </c>
    </row>
    <row r="37" spans="2:32" ht="13.5" customHeight="1" x14ac:dyDescent="0.3">
      <c r="B37" s="121" t="s">
        <v>234</v>
      </c>
      <c r="K37" s="188" t="s">
        <v>205</v>
      </c>
      <c r="L37" s="189"/>
      <c r="N37" t="s">
        <v>39</v>
      </c>
      <c r="Z37" s="145" t="s">
        <v>17</v>
      </c>
      <c r="AA37" s="146"/>
      <c r="AC37" s="5"/>
    </row>
    <row r="38" spans="2:32" ht="14.4" customHeight="1" x14ac:dyDescent="0.3">
      <c r="B38" s="122" t="s">
        <v>235</v>
      </c>
      <c r="C38" s="6"/>
      <c r="D38" s="6"/>
      <c r="E38" s="6"/>
      <c r="F38" s="6"/>
      <c r="G38" s="6"/>
      <c r="H38" s="6"/>
      <c r="I38" s="6"/>
      <c r="J38" s="6"/>
      <c r="K38" s="180" t="s">
        <v>205</v>
      </c>
      <c r="L38" s="181"/>
      <c r="M38" s="6"/>
      <c r="N38" s="6" t="s">
        <v>40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7"/>
      <c r="Z38" s="147" t="s">
        <v>34</v>
      </c>
      <c r="AA38" s="148"/>
      <c r="AB38" s="6"/>
      <c r="AC38" s="7"/>
    </row>
    <row r="55" ht="11.25" customHeight="1" x14ac:dyDescent="0.3"/>
    <row r="56" hidden="1" x14ac:dyDescent="0.3"/>
  </sheetData>
  <mergeCells count="44">
    <mergeCell ref="K38:L38"/>
    <mergeCell ref="K31:L31"/>
    <mergeCell ref="K32:L32"/>
    <mergeCell ref="K34:L34"/>
    <mergeCell ref="K36:L36"/>
    <mergeCell ref="K35:L35"/>
    <mergeCell ref="K33:L33"/>
    <mergeCell ref="K37:L37"/>
    <mergeCell ref="A1:AL1"/>
    <mergeCell ref="A2:AL2"/>
    <mergeCell ref="A3:AL3"/>
    <mergeCell ref="K29:L29"/>
    <mergeCell ref="D5:AH5"/>
    <mergeCell ref="C5:C6"/>
    <mergeCell ref="B5:B6"/>
    <mergeCell ref="B7:B12"/>
    <mergeCell ref="K28:L28"/>
    <mergeCell ref="A5:A6"/>
    <mergeCell ref="A7:A12"/>
    <mergeCell ref="AI5:AM5"/>
    <mergeCell ref="AI15:AM15"/>
    <mergeCell ref="Z27:AA27"/>
    <mergeCell ref="Z28:AA28"/>
    <mergeCell ref="Z29:AA29"/>
    <mergeCell ref="K30:L30"/>
    <mergeCell ref="A13:AH13"/>
    <mergeCell ref="A15:A16"/>
    <mergeCell ref="B15:B16"/>
    <mergeCell ref="C15:C16"/>
    <mergeCell ref="D15:AH15"/>
    <mergeCell ref="K27:L27"/>
    <mergeCell ref="A17:A22"/>
    <mergeCell ref="B17:B22"/>
    <mergeCell ref="A23:AH23"/>
    <mergeCell ref="A24:AH24"/>
    <mergeCell ref="Z30:AA30"/>
    <mergeCell ref="Z36:AA36"/>
    <mergeCell ref="Z37:AA37"/>
    <mergeCell ref="Z38:AA38"/>
    <mergeCell ref="Z31:AA31"/>
    <mergeCell ref="Z32:AA32"/>
    <mergeCell ref="Z33:AA33"/>
    <mergeCell ref="Z34:AA34"/>
    <mergeCell ref="Z35:AA35"/>
  </mergeCells>
  <pageMargins left="0.98425196850393704" right="0.98425196850393704" top="0.39370078740157483" bottom="0.31496062992125984" header="0.31496062992125984" footer="0.23622047244094491"/>
  <pageSetup paperSize="5" orientation="landscape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87"/>
  <sheetViews>
    <sheetView topLeftCell="A63" workbookViewId="0">
      <selection activeCell="K93" sqref="K93"/>
    </sheetView>
  </sheetViews>
  <sheetFormatPr defaultRowHeight="14.4" x14ac:dyDescent="0.3"/>
  <cols>
    <col min="1" max="1" width="2.109375" customWidth="1"/>
    <col min="2" max="2" width="7.109375" customWidth="1"/>
    <col min="3" max="3" width="6.33203125" customWidth="1"/>
    <col min="4" max="8" width="5.5546875" customWidth="1"/>
    <col min="9" max="9" width="5.5546875" hidden="1" customWidth="1"/>
    <col min="10" max="10" width="5.5546875" customWidth="1"/>
    <col min="11" max="11" width="56" customWidth="1"/>
    <col min="12" max="12" width="42.21875" style="37" customWidth="1"/>
    <col min="13" max="13" width="0.6640625" customWidth="1"/>
    <col min="14" max="15" width="1.6640625" customWidth="1"/>
  </cols>
  <sheetData>
    <row r="1" spans="2:16" ht="15" customHeight="1" x14ac:dyDescent="0.3">
      <c r="B1" s="207" t="s">
        <v>53</v>
      </c>
      <c r="C1" s="207"/>
      <c r="D1" s="207"/>
      <c r="E1" s="207"/>
      <c r="F1" s="207"/>
      <c r="G1" s="207"/>
      <c r="H1" s="207"/>
      <c r="I1" s="207"/>
      <c r="J1" s="207"/>
      <c r="K1" s="207"/>
      <c r="L1" s="207"/>
      <c r="P1">
        <v>1</v>
      </c>
    </row>
    <row r="2" spans="2:16" ht="15" customHeight="1" x14ac:dyDescent="0.3">
      <c r="B2" s="207" t="s">
        <v>54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</row>
    <row r="3" spans="2:16" ht="15" customHeight="1" x14ac:dyDescent="0.3">
      <c r="B3" s="207" t="str">
        <f>Kalender!A2</f>
        <v>UPTD SEKOLAH DASAR NEGERI 1 SUKAMUKTI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</row>
    <row r="4" spans="2:16" ht="15" customHeight="1" x14ac:dyDescent="0.3">
      <c r="B4" s="207" t="s">
        <v>228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</row>
    <row r="5" spans="2:16" ht="4.2" customHeight="1" x14ac:dyDescent="0.35">
      <c r="C5" s="9"/>
      <c r="D5" s="9"/>
      <c r="E5" s="9"/>
      <c r="F5" s="9"/>
      <c r="G5" s="9"/>
      <c r="H5" s="9"/>
      <c r="I5" s="9"/>
      <c r="J5" s="9"/>
      <c r="K5" s="9"/>
      <c r="L5" s="36"/>
    </row>
    <row r="6" spans="2:16" ht="24.75" customHeight="1" x14ac:dyDescent="0.3">
      <c r="B6" s="38"/>
      <c r="C6" s="39" t="s">
        <v>55</v>
      </c>
      <c r="D6" s="213" t="s">
        <v>46</v>
      </c>
      <c r="E6" s="213" t="s">
        <v>47</v>
      </c>
      <c r="F6" s="213" t="s">
        <v>48</v>
      </c>
      <c r="G6" s="213" t="s">
        <v>49</v>
      </c>
      <c r="H6" s="213" t="s">
        <v>50</v>
      </c>
      <c r="I6" s="213" t="s">
        <v>51</v>
      </c>
      <c r="J6" s="213" t="s">
        <v>15</v>
      </c>
      <c r="K6" s="214" t="s">
        <v>52</v>
      </c>
      <c r="L6" s="215"/>
    </row>
    <row r="7" spans="2:16" ht="19.8" customHeight="1" x14ac:dyDescent="0.3">
      <c r="B7" s="40" t="s">
        <v>1</v>
      </c>
      <c r="C7" s="41"/>
      <c r="D7" s="213"/>
      <c r="E7" s="213"/>
      <c r="F7" s="213"/>
      <c r="G7" s="213"/>
      <c r="H7" s="213"/>
      <c r="I7" s="213"/>
      <c r="J7" s="213"/>
      <c r="K7" s="216"/>
      <c r="L7" s="217"/>
    </row>
    <row r="8" spans="2:16" ht="7.5" customHeight="1" x14ac:dyDescent="0.3">
      <c r="B8" s="228"/>
      <c r="C8" s="228"/>
      <c r="D8" s="35"/>
      <c r="E8" s="35"/>
      <c r="F8" s="35"/>
      <c r="G8" s="35"/>
      <c r="H8" s="35"/>
      <c r="I8" s="35"/>
      <c r="J8" s="35"/>
      <c r="K8" s="218"/>
      <c r="L8" s="219"/>
    </row>
    <row r="9" spans="2:16" ht="15" customHeight="1" x14ac:dyDescent="0.3">
      <c r="B9" s="222" t="s">
        <v>2</v>
      </c>
      <c r="C9" s="223"/>
      <c r="D9" s="209">
        <f>Kalender!AP7</f>
        <v>2</v>
      </c>
      <c r="E9" s="209">
        <f>Kalender!AQ7</f>
        <v>2</v>
      </c>
      <c r="F9" s="209">
        <f>Kalender!AR7</f>
        <v>2</v>
      </c>
      <c r="G9" s="209">
        <f>Kalender!AS7</f>
        <v>2</v>
      </c>
      <c r="H9" s="209">
        <f>Kalender!AT7</f>
        <v>1</v>
      </c>
      <c r="I9" s="209">
        <f>Kalender!AU7</f>
        <v>0</v>
      </c>
      <c r="J9" s="209">
        <f>SUM(D9:I9)</f>
        <v>9</v>
      </c>
      <c r="K9" s="220" t="s">
        <v>217</v>
      </c>
      <c r="L9" s="221"/>
    </row>
    <row r="10" spans="2:16" ht="15" customHeight="1" x14ac:dyDescent="0.3">
      <c r="B10" s="224"/>
      <c r="C10" s="225"/>
      <c r="D10" s="210"/>
      <c r="E10" s="210"/>
      <c r="F10" s="210"/>
      <c r="G10" s="210"/>
      <c r="H10" s="210"/>
      <c r="I10" s="210"/>
      <c r="J10" s="210"/>
      <c r="K10" s="211" t="s">
        <v>218</v>
      </c>
      <c r="L10" s="212"/>
    </row>
    <row r="11" spans="2:16" ht="15" customHeight="1" x14ac:dyDescent="0.3">
      <c r="B11" s="224"/>
      <c r="C11" s="225"/>
      <c r="D11" s="210"/>
      <c r="E11" s="210"/>
      <c r="F11" s="210"/>
      <c r="G11" s="210"/>
      <c r="H11" s="210"/>
      <c r="I11" s="210"/>
      <c r="J11" s="210"/>
      <c r="K11" s="242" t="s">
        <v>300</v>
      </c>
      <c r="L11" s="212"/>
    </row>
    <row r="12" spans="2:16" ht="15" customHeight="1" x14ac:dyDescent="0.3">
      <c r="B12" s="224"/>
      <c r="C12" s="225"/>
      <c r="D12" s="210"/>
      <c r="E12" s="210"/>
      <c r="F12" s="210"/>
      <c r="G12" s="210"/>
      <c r="H12" s="210"/>
      <c r="I12" s="210"/>
      <c r="J12" s="210"/>
      <c r="K12" s="211" t="s">
        <v>219</v>
      </c>
      <c r="L12" s="212"/>
    </row>
    <row r="13" spans="2:16" ht="15" customHeight="1" x14ac:dyDescent="0.3">
      <c r="B13" s="226" t="s">
        <v>3</v>
      </c>
      <c r="C13" s="227"/>
      <c r="D13" s="208">
        <f>Kalender!AP8</f>
        <v>4</v>
      </c>
      <c r="E13" s="208">
        <f>Kalender!AQ8</f>
        <v>4</v>
      </c>
      <c r="F13" s="208">
        <f>Kalender!AR8</f>
        <v>4</v>
      </c>
      <c r="G13" s="208">
        <f>Kalender!AS8</f>
        <v>3</v>
      </c>
      <c r="H13" s="208">
        <f>Kalender!AT8</f>
        <v>5</v>
      </c>
      <c r="I13" s="208">
        <f>Kalender!AU8</f>
        <v>0</v>
      </c>
      <c r="J13" s="208">
        <f>SUM(D13:I15)</f>
        <v>20</v>
      </c>
      <c r="K13" s="220" t="s">
        <v>220</v>
      </c>
      <c r="L13" s="221"/>
    </row>
    <row r="14" spans="2:16" ht="15" customHeight="1" x14ac:dyDescent="0.3">
      <c r="B14" s="226"/>
      <c r="C14" s="227"/>
      <c r="D14" s="208"/>
      <c r="E14" s="208"/>
      <c r="F14" s="208"/>
      <c r="G14" s="208"/>
      <c r="H14" s="208"/>
      <c r="I14" s="208"/>
      <c r="J14" s="208"/>
      <c r="K14" s="137" t="s">
        <v>221</v>
      </c>
      <c r="L14" s="134"/>
    </row>
    <row r="15" spans="2:16" ht="15" customHeight="1" x14ac:dyDescent="0.3">
      <c r="B15" s="226"/>
      <c r="C15" s="227"/>
      <c r="D15" s="208"/>
      <c r="E15" s="208"/>
      <c r="F15" s="208"/>
      <c r="G15" s="208"/>
      <c r="H15" s="208"/>
      <c r="I15" s="208"/>
      <c r="J15" s="208"/>
      <c r="K15" s="231" t="s">
        <v>307</v>
      </c>
      <c r="L15" s="212"/>
    </row>
    <row r="16" spans="2:16" ht="15" customHeight="1" x14ac:dyDescent="0.3">
      <c r="B16" s="249" t="s">
        <v>4</v>
      </c>
      <c r="C16" s="250"/>
      <c r="D16" s="209">
        <f>Kalender!AP9</f>
        <v>3</v>
      </c>
      <c r="E16" s="209">
        <f>Kalender!AQ9</f>
        <v>4</v>
      </c>
      <c r="F16" s="209">
        <f>Kalender!AR9</f>
        <v>3</v>
      </c>
      <c r="G16" s="209">
        <f>Kalender!AS9</f>
        <v>3</v>
      </c>
      <c r="H16" s="209">
        <f>Kalender!AT9</f>
        <v>3</v>
      </c>
      <c r="I16" s="209">
        <f>Kalender!AU9</f>
        <v>0</v>
      </c>
      <c r="J16" s="209">
        <f>SUM(D16:I18)</f>
        <v>16</v>
      </c>
      <c r="K16" s="220" t="s">
        <v>222</v>
      </c>
      <c r="L16" s="221"/>
    </row>
    <row r="17" spans="2:12" ht="15" customHeight="1" x14ac:dyDescent="0.3">
      <c r="B17" s="251"/>
      <c r="C17" s="252"/>
      <c r="D17" s="210"/>
      <c r="E17" s="210"/>
      <c r="F17" s="210"/>
      <c r="G17" s="210"/>
      <c r="H17" s="210"/>
      <c r="I17" s="210"/>
      <c r="J17" s="210"/>
      <c r="K17" s="241" t="s">
        <v>223</v>
      </c>
      <c r="L17" s="212"/>
    </row>
    <row r="18" spans="2:12" ht="15" customHeight="1" x14ac:dyDescent="0.3">
      <c r="B18" s="251"/>
      <c r="C18" s="252"/>
      <c r="D18" s="210"/>
      <c r="E18" s="210"/>
      <c r="F18" s="210"/>
      <c r="G18" s="210"/>
      <c r="H18" s="210"/>
      <c r="I18" s="210"/>
      <c r="J18" s="210"/>
      <c r="K18" s="254" t="s">
        <v>238</v>
      </c>
      <c r="L18" s="255"/>
    </row>
    <row r="19" spans="2:12" ht="15" customHeight="1" x14ac:dyDescent="0.3">
      <c r="B19" s="232" t="s">
        <v>5</v>
      </c>
      <c r="C19" s="227"/>
      <c r="D19" s="208">
        <f>Kalender!AP10</f>
        <v>4</v>
      </c>
      <c r="E19" s="208">
        <f>Kalender!AQ10</f>
        <v>4</v>
      </c>
      <c r="F19" s="208">
        <f>Kalender!AR10</f>
        <v>5</v>
      </c>
      <c r="G19" s="208">
        <f>Kalender!AS10</f>
        <v>5</v>
      </c>
      <c r="H19" s="208">
        <f>Kalender!AT10</f>
        <v>5</v>
      </c>
      <c r="I19" s="208">
        <f>Kalender!AU10</f>
        <v>0</v>
      </c>
      <c r="J19" s="208">
        <f>SUM(D19:I20)</f>
        <v>23</v>
      </c>
      <c r="K19" s="233" t="s">
        <v>308</v>
      </c>
      <c r="L19" s="221"/>
    </row>
    <row r="20" spans="2:12" ht="15" customHeight="1" x14ac:dyDescent="0.3">
      <c r="B20" s="227"/>
      <c r="C20" s="227"/>
      <c r="D20" s="208"/>
      <c r="E20" s="208"/>
      <c r="F20" s="208"/>
      <c r="G20" s="208"/>
      <c r="H20" s="208"/>
      <c r="I20" s="208"/>
      <c r="J20" s="208"/>
      <c r="K20" s="211"/>
      <c r="L20" s="212"/>
    </row>
    <row r="21" spans="2:12" ht="15" customHeight="1" x14ac:dyDescent="0.3">
      <c r="B21" s="245" t="s">
        <v>6</v>
      </c>
      <c r="C21" s="246"/>
      <c r="D21" s="209">
        <f>Kalender!AP11</f>
        <v>4</v>
      </c>
      <c r="E21" s="209">
        <f>Kalender!AQ11</f>
        <v>3</v>
      </c>
      <c r="F21" s="209">
        <f>Kalender!AR11</f>
        <v>4</v>
      </c>
      <c r="G21" s="209">
        <f>Kalender!AS11</f>
        <v>4</v>
      </c>
      <c r="H21" s="209">
        <f>Kalender!AT11</f>
        <v>4</v>
      </c>
      <c r="I21" s="209">
        <f>Kalender!AU11</f>
        <v>0</v>
      </c>
      <c r="J21" s="209">
        <f>SUM(D21:I22)</f>
        <v>19</v>
      </c>
      <c r="K21" s="220" t="s">
        <v>224</v>
      </c>
      <c r="L21" s="221"/>
    </row>
    <row r="22" spans="2:12" ht="15" customHeight="1" x14ac:dyDescent="0.3">
      <c r="B22" s="247"/>
      <c r="C22" s="248"/>
      <c r="D22" s="210"/>
      <c r="E22" s="210"/>
      <c r="F22" s="210"/>
      <c r="G22" s="210"/>
      <c r="H22" s="210"/>
      <c r="I22" s="210"/>
      <c r="J22" s="210"/>
      <c r="K22" s="253"/>
      <c r="L22" s="212"/>
    </row>
    <row r="23" spans="2:12" ht="15" customHeight="1" x14ac:dyDescent="0.3">
      <c r="B23" s="227" t="s">
        <v>7</v>
      </c>
      <c r="C23" s="227"/>
      <c r="D23" s="208">
        <f>Kalender!AP12</f>
        <v>1</v>
      </c>
      <c r="E23" s="208">
        <f>Kalender!AQ12</f>
        <v>1</v>
      </c>
      <c r="F23" s="208">
        <f>Kalender!AR12</f>
        <v>1</v>
      </c>
      <c r="G23" s="208">
        <f>Kalender!AS12</f>
        <v>1</v>
      </c>
      <c r="H23" s="208">
        <f>Kalender!AT12</f>
        <v>1</v>
      </c>
      <c r="I23" s="208">
        <f>Kalender!AU12</f>
        <v>0</v>
      </c>
      <c r="J23" s="208">
        <f>SUM(D23:I23)</f>
        <v>5</v>
      </c>
      <c r="K23" s="233" t="s">
        <v>309</v>
      </c>
      <c r="L23" s="221"/>
    </row>
    <row r="24" spans="2:12" ht="15" customHeight="1" x14ac:dyDescent="0.3">
      <c r="B24" s="227"/>
      <c r="C24" s="227"/>
      <c r="D24" s="208"/>
      <c r="E24" s="208"/>
      <c r="F24" s="208"/>
      <c r="G24" s="208"/>
      <c r="H24" s="208"/>
      <c r="I24" s="208"/>
      <c r="J24" s="208"/>
      <c r="K24" s="241" t="s">
        <v>239</v>
      </c>
      <c r="L24" s="256"/>
    </row>
    <row r="25" spans="2:12" ht="15" customHeight="1" x14ac:dyDescent="0.3">
      <c r="B25" s="227"/>
      <c r="C25" s="227"/>
      <c r="D25" s="208"/>
      <c r="E25" s="208"/>
      <c r="F25" s="208"/>
      <c r="G25" s="208"/>
      <c r="H25" s="208"/>
      <c r="I25" s="208"/>
      <c r="J25" s="208"/>
      <c r="K25" s="190" t="s">
        <v>240</v>
      </c>
      <c r="L25" s="191"/>
    </row>
    <row r="26" spans="2:12" ht="15" customHeight="1" x14ac:dyDescent="0.3">
      <c r="B26" s="227"/>
      <c r="C26" s="227"/>
      <c r="D26" s="208"/>
      <c r="E26" s="208"/>
      <c r="F26" s="208"/>
      <c r="G26" s="208"/>
      <c r="H26" s="208"/>
      <c r="I26" s="208"/>
      <c r="J26" s="208"/>
      <c r="K26" s="211" t="s">
        <v>225</v>
      </c>
      <c r="L26" s="212"/>
    </row>
    <row r="27" spans="2:12" ht="15" customHeight="1" x14ac:dyDescent="0.3">
      <c r="B27" s="227"/>
      <c r="C27" s="227"/>
      <c r="D27" s="208"/>
      <c r="E27" s="208"/>
      <c r="F27" s="208"/>
      <c r="G27" s="208"/>
      <c r="H27" s="208"/>
      <c r="I27" s="208"/>
      <c r="J27" s="208"/>
      <c r="K27" s="211" t="s">
        <v>226</v>
      </c>
      <c r="L27" s="212"/>
    </row>
    <row r="28" spans="2:12" ht="15" customHeight="1" x14ac:dyDescent="0.3">
      <c r="B28" s="227"/>
      <c r="C28" s="227"/>
      <c r="D28" s="208"/>
      <c r="E28" s="208"/>
      <c r="F28" s="208"/>
      <c r="G28" s="208"/>
      <c r="H28" s="208"/>
      <c r="I28" s="208"/>
      <c r="J28" s="208"/>
      <c r="K28" s="241" t="s">
        <v>241</v>
      </c>
      <c r="L28" s="212"/>
    </row>
    <row r="29" spans="2:12" ht="15" customHeight="1" x14ac:dyDescent="0.3">
      <c r="B29" s="227"/>
      <c r="C29" s="227"/>
      <c r="D29" s="208"/>
      <c r="E29" s="208"/>
      <c r="F29" s="208"/>
      <c r="G29" s="208"/>
      <c r="H29" s="208"/>
      <c r="I29" s="208"/>
      <c r="J29" s="208"/>
      <c r="K29" s="190" t="s">
        <v>242</v>
      </c>
      <c r="L29" s="212"/>
    </row>
    <row r="30" spans="2:12" ht="15" customHeight="1" x14ac:dyDescent="0.3">
      <c r="B30" s="227"/>
      <c r="C30" s="227"/>
      <c r="D30" s="208"/>
      <c r="E30" s="208"/>
      <c r="F30" s="208"/>
      <c r="G30" s="208"/>
      <c r="H30" s="208"/>
      <c r="I30" s="208"/>
      <c r="J30" s="208"/>
      <c r="K30" s="190" t="s">
        <v>243</v>
      </c>
      <c r="L30" s="212"/>
    </row>
    <row r="31" spans="2:12" ht="15" customHeight="1" x14ac:dyDescent="0.3">
      <c r="B31" s="258" t="s">
        <v>15</v>
      </c>
      <c r="C31" s="258"/>
      <c r="D31" s="45">
        <f t="shared" ref="D31:J31" si="0">SUM(D9:D30)</f>
        <v>18</v>
      </c>
      <c r="E31" s="45">
        <f t="shared" si="0"/>
        <v>18</v>
      </c>
      <c r="F31" s="45">
        <f t="shared" si="0"/>
        <v>19</v>
      </c>
      <c r="G31" s="45">
        <f t="shared" si="0"/>
        <v>18</v>
      </c>
      <c r="H31" s="45">
        <f t="shared" si="0"/>
        <v>19</v>
      </c>
      <c r="I31" s="45">
        <f t="shared" si="0"/>
        <v>0</v>
      </c>
      <c r="J31" s="45">
        <f t="shared" si="0"/>
        <v>92</v>
      </c>
      <c r="K31" s="243"/>
      <c r="L31" s="244"/>
    </row>
    <row r="32" spans="2:12" ht="3" customHeight="1" x14ac:dyDescent="0.3">
      <c r="B32" s="34"/>
      <c r="C32" s="34"/>
      <c r="D32" s="34"/>
      <c r="E32" s="34"/>
      <c r="F32" s="34"/>
      <c r="G32" s="34"/>
      <c r="H32" s="34"/>
      <c r="I32" s="34"/>
      <c r="J32" s="34"/>
      <c r="K32" s="34"/>
      <c r="L32"/>
    </row>
    <row r="33" spans="2:16" ht="14.4" customHeight="1" x14ac:dyDescent="0.3">
      <c r="B33" s="34"/>
      <c r="C33" s="34"/>
      <c r="D33" s="34"/>
      <c r="E33" s="34"/>
      <c r="F33" s="34"/>
      <c r="G33" s="34"/>
      <c r="H33" s="34"/>
      <c r="I33" s="34"/>
      <c r="J33" s="34"/>
      <c r="K33" s="34"/>
      <c r="L33" t="s">
        <v>227</v>
      </c>
    </row>
    <row r="34" spans="2:16" ht="14.4" customHeight="1" x14ac:dyDescent="0.3">
      <c r="B34" s="34"/>
      <c r="C34" s="34"/>
      <c r="D34" s="34"/>
      <c r="E34" s="34"/>
      <c r="F34" s="34"/>
      <c r="G34" s="34"/>
      <c r="H34" s="34"/>
      <c r="I34" s="34"/>
      <c r="J34" s="34"/>
      <c r="K34" s="34"/>
      <c r="L34" t="str">
        <f>"Kepala "&amp;Kalender!AF28</f>
        <v xml:space="preserve">Kepala UPTD SD Negeri 1 Sukamukti </v>
      </c>
    </row>
    <row r="35" spans="2:16" ht="7.8" customHeight="1" x14ac:dyDescent="0.3">
      <c r="B35" s="34"/>
      <c r="C35" s="34"/>
      <c r="D35" s="34"/>
      <c r="E35" s="34"/>
      <c r="F35" s="34"/>
      <c r="G35" s="34"/>
      <c r="H35" s="34"/>
      <c r="I35" s="34"/>
      <c r="J35" s="34"/>
      <c r="K35" s="34"/>
      <c r="L35"/>
    </row>
    <row r="36" spans="2:16" ht="12.6" customHeight="1" x14ac:dyDescent="0.3">
      <c r="L36"/>
    </row>
    <row r="37" spans="2:16" ht="12" customHeight="1" x14ac:dyDescent="0.3">
      <c r="L37"/>
    </row>
    <row r="38" spans="2:16" ht="15" customHeight="1" x14ac:dyDescent="0.3">
      <c r="L38" s="8" t="str">
        <f>Kalender!AF35</f>
        <v>DUDUNG, S.Pd.SD.</v>
      </c>
    </row>
    <row r="39" spans="2:16" ht="15.75" customHeight="1" x14ac:dyDescent="0.3">
      <c r="L39" s="48" t="str">
        <f>Kalender!AF36</f>
        <v>NIP. 19711110 199307 1 001</v>
      </c>
    </row>
    <row r="40" spans="2:16" ht="4.2" customHeight="1" x14ac:dyDescent="0.3">
      <c r="L40"/>
    </row>
    <row r="41" spans="2:16" ht="15" customHeight="1" x14ac:dyDescent="0.35">
      <c r="B41" s="169" t="s">
        <v>53</v>
      </c>
      <c r="C41" s="169"/>
      <c r="D41" s="169"/>
      <c r="E41" s="169"/>
      <c r="F41" s="169"/>
      <c r="G41" s="169"/>
      <c r="H41" s="169"/>
      <c r="I41" s="169"/>
      <c r="J41" s="169"/>
      <c r="K41" s="169"/>
      <c r="L41" s="169"/>
    </row>
    <row r="42" spans="2:16" ht="15" customHeight="1" x14ac:dyDescent="0.35">
      <c r="B42" s="169" t="s">
        <v>54</v>
      </c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P42">
        <v>2</v>
      </c>
    </row>
    <row r="43" spans="2:16" ht="15" customHeight="1" x14ac:dyDescent="0.35">
      <c r="B43" s="169" t="str">
        <f>B3</f>
        <v>UPTD SEKOLAH DASAR NEGERI 1 SUKAMUKTI</v>
      </c>
      <c r="C43" s="169"/>
      <c r="D43" s="169"/>
      <c r="E43" s="169"/>
      <c r="F43" s="169"/>
      <c r="G43" s="169"/>
      <c r="H43" s="169"/>
      <c r="I43" s="169"/>
      <c r="J43" s="169"/>
      <c r="K43" s="169"/>
      <c r="L43" s="169"/>
    </row>
    <row r="44" spans="2:16" ht="15" customHeight="1" x14ac:dyDescent="0.35">
      <c r="B44" s="169" t="s">
        <v>244</v>
      </c>
      <c r="C44" s="169"/>
      <c r="D44" s="169"/>
      <c r="E44" s="169"/>
      <c r="F44" s="169"/>
      <c r="G44" s="169"/>
      <c r="H44" s="169"/>
      <c r="I44" s="169"/>
      <c r="J44" s="169"/>
      <c r="K44" s="169"/>
      <c r="L44" s="169"/>
    </row>
    <row r="45" spans="2:16" ht="7.5" customHeight="1" x14ac:dyDescent="0.35">
      <c r="C45" s="9"/>
      <c r="D45" s="9"/>
      <c r="E45" s="9"/>
      <c r="F45" s="9"/>
      <c r="G45" s="9"/>
      <c r="H45" s="9"/>
      <c r="I45" s="9"/>
      <c r="J45" s="9"/>
      <c r="K45" s="9"/>
      <c r="L45" s="36"/>
    </row>
    <row r="46" spans="2:16" ht="19.5" customHeight="1" x14ac:dyDescent="0.3">
      <c r="B46" s="50"/>
      <c r="C46" s="51" t="s">
        <v>55</v>
      </c>
      <c r="D46" s="236" t="s">
        <v>46</v>
      </c>
      <c r="E46" s="236" t="s">
        <v>47</v>
      </c>
      <c r="F46" s="236" t="s">
        <v>48</v>
      </c>
      <c r="G46" s="236" t="s">
        <v>49</v>
      </c>
      <c r="H46" s="236" t="s">
        <v>50</v>
      </c>
      <c r="I46" s="236" t="s">
        <v>51</v>
      </c>
      <c r="J46" s="236" t="s">
        <v>15</v>
      </c>
      <c r="K46" s="237" t="s">
        <v>52</v>
      </c>
      <c r="L46" s="238"/>
    </row>
    <row r="47" spans="2:16" ht="21.6" customHeight="1" x14ac:dyDescent="0.3">
      <c r="B47" s="52" t="s">
        <v>1</v>
      </c>
      <c r="C47" s="53"/>
      <c r="D47" s="236"/>
      <c r="E47" s="236"/>
      <c r="F47" s="236"/>
      <c r="G47" s="236"/>
      <c r="H47" s="236"/>
      <c r="I47" s="236"/>
      <c r="J47" s="236"/>
      <c r="K47" s="239"/>
      <c r="L47" s="240"/>
    </row>
    <row r="48" spans="2:16" ht="6.75" customHeight="1" x14ac:dyDescent="0.3">
      <c r="B48" s="257"/>
      <c r="C48" s="257"/>
      <c r="D48" s="54"/>
      <c r="E48" s="54"/>
      <c r="F48" s="54"/>
      <c r="G48" s="54"/>
      <c r="H48" s="54"/>
      <c r="I48" s="54"/>
      <c r="J48" s="54"/>
      <c r="K48" s="234"/>
      <c r="L48" s="235"/>
    </row>
    <row r="49" spans="2:19" ht="12" customHeight="1" x14ac:dyDescent="0.3">
      <c r="B49" s="201" t="s">
        <v>19</v>
      </c>
      <c r="C49" s="202"/>
      <c r="D49" s="199">
        <f>Kalender!AP17</f>
        <v>1</v>
      </c>
      <c r="E49" s="199">
        <f>Kalender!AQ17</f>
        <v>3</v>
      </c>
      <c r="F49" s="199">
        <f>Kalender!AR17</f>
        <v>3</v>
      </c>
      <c r="G49" s="199">
        <f>Kalender!AS17</f>
        <v>3</v>
      </c>
      <c r="H49" s="199">
        <f>Kalender!AT17</f>
        <v>2</v>
      </c>
      <c r="I49" s="199">
        <f>Kalender!AU17</f>
        <v>0</v>
      </c>
      <c r="J49" s="199">
        <f>SUM(D49:I49)</f>
        <v>12</v>
      </c>
      <c r="K49" s="195" t="s">
        <v>295</v>
      </c>
      <c r="L49" s="196"/>
    </row>
    <row r="50" spans="2:19" ht="12" customHeight="1" x14ac:dyDescent="0.3">
      <c r="B50" s="203"/>
      <c r="C50" s="204"/>
      <c r="D50" s="200"/>
      <c r="E50" s="200"/>
      <c r="F50" s="200"/>
      <c r="G50" s="200"/>
      <c r="H50" s="200"/>
      <c r="I50" s="200"/>
      <c r="J50" s="200"/>
      <c r="K50" s="192" t="s">
        <v>245</v>
      </c>
      <c r="L50" s="193"/>
    </row>
    <row r="51" spans="2:19" ht="12" customHeight="1" x14ac:dyDescent="0.3">
      <c r="B51" s="203"/>
      <c r="C51" s="204"/>
      <c r="D51" s="200"/>
      <c r="E51" s="200"/>
      <c r="F51" s="200"/>
      <c r="G51" s="200"/>
      <c r="H51" s="200"/>
      <c r="I51" s="200"/>
      <c r="J51" s="200"/>
      <c r="K51" s="192" t="s">
        <v>246</v>
      </c>
      <c r="L51" s="193"/>
    </row>
    <row r="52" spans="2:19" ht="12" customHeight="1" x14ac:dyDescent="0.3">
      <c r="B52" s="203"/>
      <c r="C52" s="204"/>
      <c r="D52" s="200"/>
      <c r="E52" s="200"/>
      <c r="F52" s="200"/>
      <c r="G52" s="200"/>
      <c r="H52" s="200"/>
      <c r="I52" s="200"/>
      <c r="J52" s="200"/>
      <c r="K52" s="192" t="s">
        <v>247</v>
      </c>
      <c r="L52" s="193"/>
    </row>
    <row r="53" spans="2:19" ht="12" customHeight="1" x14ac:dyDescent="0.3">
      <c r="B53" s="203"/>
      <c r="C53" s="204"/>
      <c r="D53" s="200"/>
      <c r="E53" s="200"/>
      <c r="F53" s="200"/>
      <c r="G53" s="200"/>
      <c r="H53" s="200"/>
      <c r="I53" s="200"/>
      <c r="J53" s="200"/>
      <c r="K53" s="192" t="s">
        <v>248</v>
      </c>
      <c r="L53" s="193"/>
    </row>
    <row r="54" spans="2:19" ht="12" customHeight="1" x14ac:dyDescent="0.3">
      <c r="B54" s="194" t="s">
        <v>86</v>
      </c>
      <c r="C54" s="194"/>
      <c r="D54" s="194">
        <f>Kalender!AP18</f>
        <v>3</v>
      </c>
      <c r="E54" s="194">
        <f>Kalender!AQ18</f>
        <v>4</v>
      </c>
      <c r="F54" s="194">
        <f>Kalender!AR18</f>
        <v>4</v>
      </c>
      <c r="G54" s="194">
        <f>Kalender!AS18</f>
        <v>3</v>
      </c>
      <c r="H54" s="194">
        <f>Kalender!AT18</f>
        <v>3</v>
      </c>
      <c r="I54" s="194">
        <f>Kalender!AU18</f>
        <v>0</v>
      </c>
      <c r="J54" s="194">
        <f>SUM(D54:I57)</f>
        <v>17</v>
      </c>
      <c r="K54" s="195" t="s">
        <v>250</v>
      </c>
      <c r="L54" s="196"/>
    </row>
    <row r="55" spans="2:19" ht="12" customHeight="1" x14ac:dyDescent="0.3">
      <c r="B55" s="194"/>
      <c r="C55" s="194"/>
      <c r="D55" s="194"/>
      <c r="E55" s="194"/>
      <c r="F55" s="194"/>
      <c r="G55" s="194"/>
      <c r="H55" s="194"/>
      <c r="I55" s="194"/>
      <c r="J55" s="194"/>
      <c r="K55" s="192" t="s">
        <v>249</v>
      </c>
      <c r="L55" s="193"/>
    </row>
    <row r="56" spans="2:19" ht="12" customHeight="1" x14ac:dyDescent="0.3">
      <c r="B56" s="194"/>
      <c r="C56" s="194"/>
      <c r="D56" s="194"/>
      <c r="E56" s="194"/>
      <c r="F56" s="194"/>
      <c r="G56" s="194"/>
      <c r="H56" s="194"/>
      <c r="I56" s="194"/>
      <c r="J56" s="194"/>
      <c r="K56" s="192" t="s">
        <v>251</v>
      </c>
      <c r="L56" s="193"/>
    </row>
    <row r="57" spans="2:19" ht="12" customHeight="1" x14ac:dyDescent="0.3">
      <c r="B57" s="194"/>
      <c r="C57" s="194"/>
      <c r="D57" s="194"/>
      <c r="E57" s="194"/>
      <c r="F57" s="194"/>
      <c r="G57" s="194"/>
      <c r="H57" s="194"/>
      <c r="I57" s="194"/>
      <c r="J57" s="194"/>
      <c r="K57" s="197" t="s">
        <v>310</v>
      </c>
      <c r="L57" s="198"/>
    </row>
    <row r="58" spans="2:19" ht="12" customHeight="1" x14ac:dyDescent="0.3">
      <c r="B58" s="201" t="s">
        <v>21</v>
      </c>
      <c r="C58" s="202"/>
      <c r="D58" s="199">
        <f>Kalender!AP19</f>
        <v>2</v>
      </c>
      <c r="E58" s="199">
        <f>Kalender!AQ19</f>
        <v>2</v>
      </c>
      <c r="F58" s="199">
        <f>Kalender!AR19</f>
        <v>1</v>
      </c>
      <c r="G58" s="199">
        <f>Kalender!AS19</f>
        <v>1</v>
      </c>
      <c r="H58" s="199">
        <f>Kalender!AT19</f>
        <v>1</v>
      </c>
      <c r="I58" s="199">
        <f>Kalender!AU19</f>
        <v>0</v>
      </c>
      <c r="J58" s="199">
        <f>SUM(D58:I59)</f>
        <v>7</v>
      </c>
      <c r="K58" s="195" t="s">
        <v>252</v>
      </c>
      <c r="L58" s="196"/>
    </row>
    <row r="59" spans="2:19" ht="12" customHeight="1" x14ac:dyDescent="0.3">
      <c r="B59" s="203"/>
      <c r="C59" s="204"/>
      <c r="D59" s="200"/>
      <c r="E59" s="200"/>
      <c r="F59" s="200"/>
      <c r="G59" s="200"/>
      <c r="H59" s="200"/>
      <c r="I59" s="200"/>
      <c r="J59" s="200"/>
      <c r="K59" s="197" t="s">
        <v>253</v>
      </c>
      <c r="L59" s="198"/>
      <c r="R59" s="229"/>
      <c r="S59" s="230"/>
    </row>
    <row r="60" spans="2:19" ht="12" customHeight="1" x14ac:dyDescent="0.3">
      <c r="B60" s="194" t="s">
        <v>22</v>
      </c>
      <c r="C60" s="194"/>
      <c r="D60" s="194">
        <f>Kalender!AP20</f>
        <v>4</v>
      </c>
      <c r="E60" s="194">
        <f>Kalender!AQ20</f>
        <v>4</v>
      </c>
      <c r="F60" s="194">
        <f>Kalender!AR20</f>
        <v>4</v>
      </c>
      <c r="G60" s="194">
        <f>Kalender!AS20</f>
        <v>5</v>
      </c>
      <c r="H60" s="194">
        <f>Kalender!AT20</f>
        <v>4</v>
      </c>
      <c r="I60" s="194">
        <f>Kalender!AU20</f>
        <v>0</v>
      </c>
      <c r="J60" s="194">
        <f>SUM(D60:I60)</f>
        <v>21</v>
      </c>
      <c r="K60" s="192" t="s">
        <v>254</v>
      </c>
      <c r="L60" s="193"/>
    </row>
    <row r="61" spans="2:19" ht="12" customHeight="1" x14ac:dyDescent="0.3">
      <c r="B61" s="194"/>
      <c r="C61" s="194"/>
      <c r="D61" s="194"/>
      <c r="E61" s="194"/>
      <c r="F61" s="194"/>
      <c r="G61" s="194"/>
      <c r="H61" s="194"/>
      <c r="I61" s="194"/>
      <c r="J61" s="194"/>
      <c r="K61" s="192" t="s">
        <v>311</v>
      </c>
      <c r="L61" s="193"/>
    </row>
    <row r="62" spans="2:19" ht="12" customHeight="1" x14ac:dyDescent="0.3">
      <c r="B62" s="194"/>
      <c r="C62" s="194"/>
      <c r="D62" s="194"/>
      <c r="E62" s="194"/>
      <c r="F62" s="194"/>
      <c r="G62" s="194"/>
      <c r="H62" s="194"/>
      <c r="I62" s="194"/>
      <c r="J62" s="194"/>
      <c r="K62" s="192" t="s">
        <v>255</v>
      </c>
      <c r="L62" s="193"/>
    </row>
    <row r="63" spans="2:19" ht="12" customHeight="1" x14ac:dyDescent="0.3">
      <c r="B63" s="194"/>
      <c r="C63" s="194"/>
      <c r="D63" s="194"/>
      <c r="E63" s="194"/>
      <c r="F63" s="194"/>
      <c r="G63" s="194"/>
      <c r="H63" s="194"/>
      <c r="I63" s="194"/>
      <c r="J63" s="194"/>
      <c r="K63" s="192" t="s">
        <v>256</v>
      </c>
      <c r="L63" s="193"/>
    </row>
    <row r="64" spans="2:19" ht="12" customHeight="1" x14ac:dyDescent="0.3">
      <c r="B64" s="201" t="s">
        <v>23</v>
      </c>
      <c r="C64" s="202"/>
      <c r="D64" s="199">
        <f>Kalender!AP21</f>
        <v>3</v>
      </c>
      <c r="E64" s="199">
        <f>Kalender!AQ21</f>
        <v>2</v>
      </c>
      <c r="F64" s="199">
        <f>Kalender!AR21</f>
        <v>2</v>
      </c>
      <c r="G64" s="199">
        <f>Kalender!AS21</f>
        <v>3</v>
      </c>
      <c r="H64" s="199">
        <f>Kalender!AT21</f>
        <v>3</v>
      </c>
      <c r="I64" s="199">
        <f>Kalender!AU21</f>
        <v>0</v>
      </c>
      <c r="J64" s="199">
        <f>SUM(D64:I67)</f>
        <v>13</v>
      </c>
      <c r="K64" s="195" t="s">
        <v>257</v>
      </c>
      <c r="L64" s="196"/>
    </row>
    <row r="65" spans="2:19" ht="12" customHeight="1" x14ac:dyDescent="0.3">
      <c r="B65" s="203"/>
      <c r="C65" s="204"/>
      <c r="D65" s="200"/>
      <c r="E65" s="200"/>
      <c r="F65" s="200"/>
      <c r="G65" s="200"/>
      <c r="H65" s="200"/>
      <c r="I65" s="200"/>
      <c r="J65" s="200"/>
      <c r="K65" s="192" t="s">
        <v>259</v>
      </c>
      <c r="L65" s="193"/>
    </row>
    <row r="66" spans="2:19" ht="12" customHeight="1" x14ac:dyDescent="0.3">
      <c r="B66" s="203"/>
      <c r="C66" s="204"/>
      <c r="D66" s="200"/>
      <c r="E66" s="200"/>
      <c r="F66" s="200"/>
      <c r="G66" s="200"/>
      <c r="H66" s="200"/>
      <c r="I66" s="200"/>
      <c r="J66" s="200"/>
      <c r="K66" s="192" t="s">
        <v>258</v>
      </c>
      <c r="L66" s="193"/>
    </row>
    <row r="67" spans="2:19" ht="12" customHeight="1" x14ac:dyDescent="0.3">
      <c r="B67" s="203"/>
      <c r="C67" s="204"/>
      <c r="D67" s="200"/>
      <c r="E67" s="200"/>
      <c r="F67" s="200"/>
      <c r="G67" s="200"/>
      <c r="H67" s="200"/>
      <c r="I67" s="200"/>
      <c r="J67" s="200"/>
      <c r="K67" s="197" t="s">
        <v>260</v>
      </c>
      <c r="L67" s="198"/>
      <c r="S67" s="126" t="s">
        <v>265</v>
      </c>
    </row>
    <row r="68" spans="2:19" ht="12" customHeight="1" x14ac:dyDescent="0.3">
      <c r="B68" s="194" t="s">
        <v>24</v>
      </c>
      <c r="C68" s="194"/>
      <c r="D68" s="194">
        <f>Kalender!AP22</f>
        <v>0</v>
      </c>
      <c r="E68" s="194">
        <f>Kalender!AQ22</f>
        <v>1</v>
      </c>
      <c r="F68" s="194">
        <f>Kalender!AR22</f>
        <v>1</v>
      </c>
      <c r="G68" s="194">
        <f>Kalender!AS22</f>
        <v>1</v>
      </c>
      <c r="H68" s="194">
        <f>Kalender!AT22</f>
        <v>1</v>
      </c>
      <c r="I68" s="194">
        <f>Kalender!AU22</f>
        <v>0</v>
      </c>
      <c r="J68" s="199">
        <f>SUM(D68:I76)</f>
        <v>4</v>
      </c>
      <c r="K68" s="192" t="s">
        <v>261</v>
      </c>
      <c r="L68" s="193"/>
    </row>
    <row r="69" spans="2:19" ht="12" customHeight="1" x14ac:dyDescent="0.3">
      <c r="B69" s="194"/>
      <c r="C69" s="194"/>
      <c r="D69" s="194"/>
      <c r="E69" s="194"/>
      <c r="F69" s="194"/>
      <c r="G69" s="194"/>
      <c r="H69" s="194"/>
      <c r="I69" s="194"/>
      <c r="J69" s="200"/>
      <c r="K69" s="192" t="s">
        <v>312</v>
      </c>
      <c r="L69" s="193"/>
    </row>
    <row r="70" spans="2:19" ht="12" customHeight="1" x14ac:dyDescent="0.3">
      <c r="B70" s="194"/>
      <c r="C70" s="194"/>
      <c r="D70" s="194"/>
      <c r="E70" s="194"/>
      <c r="F70" s="194"/>
      <c r="G70" s="194"/>
      <c r="H70" s="194"/>
      <c r="I70" s="194"/>
      <c r="J70" s="200"/>
      <c r="K70" s="192" t="s">
        <v>263</v>
      </c>
      <c r="L70" s="193"/>
    </row>
    <row r="71" spans="2:19" ht="12" customHeight="1" x14ac:dyDescent="0.3">
      <c r="B71" s="194"/>
      <c r="C71" s="194"/>
      <c r="D71" s="194"/>
      <c r="E71" s="194"/>
      <c r="F71" s="194"/>
      <c r="G71" s="194"/>
      <c r="H71" s="194"/>
      <c r="I71" s="194"/>
      <c r="J71" s="200"/>
      <c r="K71" s="192" t="s">
        <v>262</v>
      </c>
      <c r="L71" s="193"/>
    </row>
    <row r="72" spans="2:19" ht="12" customHeight="1" x14ac:dyDescent="0.3">
      <c r="B72" s="194"/>
      <c r="C72" s="194"/>
      <c r="D72" s="194"/>
      <c r="E72" s="194"/>
      <c r="F72" s="194"/>
      <c r="G72" s="194"/>
      <c r="H72" s="194"/>
      <c r="I72" s="194"/>
      <c r="J72" s="200"/>
      <c r="K72" s="192" t="s">
        <v>266</v>
      </c>
      <c r="L72" s="193"/>
    </row>
    <row r="73" spans="2:19" ht="12" customHeight="1" x14ac:dyDescent="0.3">
      <c r="B73" s="194"/>
      <c r="C73" s="194"/>
      <c r="D73" s="194"/>
      <c r="E73" s="194"/>
      <c r="F73" s="194"/>
      <c r="G73" s="194"/>
      <c r="H73" s="194"/>
      <c r="I73" s="194"/>
      <c r="J73" s="200"/>
      <c r="K73" s="192" t="s">
        <v>264</v>
      </c>
      <c r="L73" s="193"/>
    </row>
    <row r="74" spans="2:19" ht="12" customHeight="1" x14ac:dyDescent="0.3">
      <c r="B74" s="194"/>
      <c r="C74" s="194"/>
      <c r="D74" s="194"/>
      <c r="E74" s="194"/>
      <c r="F74" s="194"/>
      <c r="G74" s="194"/>
      <c r="H74" s="194"/>
      <c r="I74" s="194"/>
      <c r="J74" s="200"/>
      <c r="K74" s="192" t="s">
        <v>267</v>
      </c>
      <c r="L74" s="193"/>
    </row>
    <row r="75" spans="2:19" ht="12" customHeight="1" x14ac:dyDescent="0.3">
      <c r="B75" s="194"/>
      <c r="C75" s="194"/>
      <c r="D75" s="194"/>
      <c r="E75" s="194"/>
      <c r="F75" s="194"/>
      <c r="G75" s="194"/>
      <c r="H75" s="194"/>
      <c r="I75" s="194"/>
      <c r="J75" s="200"/>
      <c r="K75" s="115" t="s">
        <v>268</v>
      </c>
      <c r="L75" s="116"/>
    </row>
    <row r="76" spans="2:19" ht="12" customHeight="1" x14ac:dyDescent="0.3">
      <c r="B76" s="194"/>
      <c r="C76" s="194"/>
      <c r="D76" s="194"/>
      <c r="E76" s="194"/>
      <c r="F76" s="194"/>
      <c r="G76" s="194"/>
      <c r="H76" s="194"/>
      <c r="I76" s="194"/>
      <c r="J76" s="200"/>
      <c r="K76" s="192" t="s">
        <v>269</v>
      </c>
      <c r="L76" s="193"/>
    </row>
    <row r="77" spans="2:19" ht="16.8" customHeight="1" x14ac:dyDescent="0.3">
      <c r="B77" s="161" t="s">
        <v>15</v>
      </c>
      <c r="C77" s="161"/>
      <c r="D77" s="49">
        <f t="shared" ref="D77:J77" si="1">SUM(D49:D76)</f>
        <v>13</v>
      </c>
      <c r="E77" s="49">
        <f t="shared" si="1"/>
        <v>16</v>
      </c>
      <c r="F77" s="49">
        <f t="shared" si="1"/>
        <v>15</v>
      </c>
      <c r="G77" s="49">
        <f t="shared" si="1"/>
        <v>16</v>
      </c>
      <c r="H77" s="49">
        <f t="shared" si="1"/>
        <v>14</v>
      </c>
      <c r="I77" s="49">
        <f t="shared" si="1"/>
        <v>0</v>
      </c>
      <c r="J77" s="49">
        <f t="shared" si="1"/>
        <v>74</v>
      </c>
      <c r="K77" s="205"/>
      <c r="L77" s="206"/>
    </row>
    <row r="78" spans="2:19" ht="3.6" customHeight="1" x14ac:dyDescent="0.3">
      <c r="B78" s="34"/>
      <c r="C78" s="34"/>
      <c r="D78" s="34"/>
      <c r="E78" s="34"/>
      <c r="F78" s="34"/>
      <c r="G78" s="34"/>
      <c r="H78" s="34"/>
      <c r="I78" s="34"/>
      <c r="J78" s="34"/>
      <c r="K78" s="34"/>
      <c r="L78"/>
    </row>
    <row r="79" spans="2:19" ht="14.25" customHeight="1" x14ac:dyDescent="0.3">
      <c r="B79" s="34"/>
      <c r="C79" s="34"/>
      <c r="D79" s="34"/>
      <c r="E79" s="34"/>
      <c r="F79" s="34"/>
      <c r="G79" s="34"/>
      <c r="H79" s="34"/>
      <c r="I79" s="34"/>
      <c r="J79" s="34"/>
      <c r="K79" s="34"/>
      <c r="L79" t="str">
        <f>L33</f>
        <v>Banjar, 08 Juli 2025</v>
      </c>
    </row>
    <row r="80" spans="2:19" ht="14.25" customHeight="1" x14ac:dyDescent="0.3">
      <c r="B80" s="34"/>
      <c r="C80" s="34"/>
      <c r="D80" s="34"/>
      <c r="E80" s="34"/>
      <c r="F80" s="34"/>
      <c r="G80" s="34"/>
      <c r="H80" s="34"/>
      <c r="I80" s="34"/>
      <c r="J80" s="34"/>
      <c r="K80" s="34"/>
      <c r="L80" t="str">
        <f>L34</f>
        <v xml:space="preserve">Kepala UPTD SD Negeri 1 Sukamukti </v>
      </c>
    </row>
    <row r="81" spans="12:12" ht="11.4" customHeight="1" x14ac:dyDescent="0.3">
      <c r="L81"/>
    </row>
    <row r="82" spans="12:12" ht="11.4" customHeight="1" x14ac:dyDescent="0.3">
      <c r="L82"/>
    </row>
    <row r="83" spans="12:12" ht="11.4" customHeight="1" x14ac:dyDescent="0.3">
      <c r="L83"/>
    </row>
    <row r="84" spans="12:12" ht="14.25" customHeight="1" x14ac:dyDescent="0.3">
      <c r="L84" s="8" t="str">
        <f t="shared" ref="L84:L85" si="2">L38</f>
        <v>DUDUNG, S.Pd.SD.</v>
      </c>
    </row>
    <row r="85" spans="12:12" ht="14.25" customHeight="1" x14ac:dyDescent="0.3">
      <c r="L85" s="42" t="str">
        <f t="shared" si="2"/>
        <v>NIP. 19711110 199307 1 001</v>
      </c>
    </row>
    <row r="86" spans="12:12" ht="3.6" customHeight="1" x14ac:dyDescent="0.3">
      <c r="L86"/>
    </row>
    <row r="87" spans="12:12" ht="17.25" customHeight="1" x14ac:dyDescent="0.3">
      <c r="L87"/>
    </row>
  </sheetData>
  <mergeCells count="177">
    <mergeCell ref="K24:L24"/>
    <mergeCell ref="K56:L56"/>
    <mergeCell ref="K61:L61"/>
    <mergeCell ref="K69:L69"/>
    <mergeCell ref="B48:C48"/>
    <mergeCell ref="B31:C31"/>
    <mergeCell ref="F46:F47"/>
    <mergeCell ref="G46:G47"/>
    <mergeCell ref="H46:H47"/>
    <mergeCell ref="I58:I59"/>
    <mergeCell ref="J58:J59"/>
    <mergeCell ref="K58:L58"/>
    <mergeCell ref="K59:L59"/>
    <mergeCell ref="B60:C63"/>
    <mergeCell ref="D60:D63"/>
    <mergeCell ref="E60:E63"/>
    <mergeCell ref="F60:F63"/>
    <mergeCell ref="G60:G63"/>
    <mergeCell ref="H60:H63"/>
    <mergeCell ref="I60:I63"/>
    <mergeCell ref="J60:J63"/>
    <mergeCell ref="K60:L60"/>
    <mergeCell ref="B58:C59"/>
    <mergeCell ref="D58:D59"/>
    <mergeCell ref="K17:L17"/>
    <mergeCell ref="K11:L11"/>
    <mergeCell ref="E46:E47"/>
    <mergeCell ref="K31:L31"/>
    <mergeCell ref="K27:L27"/>
    <mergeCell ref="B23:C30"/>
    <mergeCell ref="D23:D30"/>
    <mergeCell ref="K23:L23"/>
    <mergeCell ref="D16:D18"/>
    <mergeCell ref="E16:E18"/>
    <mergeCell ref="F16:F18"/>
    <mergeCell ref="B21:C22"/>
    <mergeCell ref="D21:D22"/>
    <mergeCell ref="E21:E22"/>
    <mergeCell ref="F21:F22"/>
    <mergeCell ref="B16:C18"/>
    <mergeCell ref="G21:G22"/>
    <mergeCell ref="I21:I22"/>
    <mergeCell ref="J21:J22"/>
    <mergeCell ref="K21:L21"/>
    <mergeCell ref="K22:L22"/>
    <mergeCell ref="K18:L18"/>
    <mergeCell ref="G16:G18"/>
    <mergeCell ref="H16:H18"/>
    <mergeCell ref="R59:S59"/>
    <mergeCell ref="K15:L15"/>
    <mergeCell ref="B19:C20"/>
    <mergeCell ref="D19:D20"/>
    <mergeCell ref="E19:E20"/>
    <mergeCell ref="F19:F20"/>
    <mergeCell ref="G19:G20"/>
    <mergeCell ref="H19:H20"/>
    <mergeCell ref="I19:I20"/>
    <mergeCell ref="J19:J20"/>
    <mergeCell ref="K19:L19"/>
    <mergeCell ref="K48:L48"/>
    <mergeCell ref="I49:I53"/>
    <mergeCell ref="J49:J53"/>
    <mergeCell ref="K49:L49"/>
    <mergeCell ref="I46:I47"/>
    <mergeCell ref="J46:J47"/>
    <mergeCell ref="K46:L47"/>
    <mergeCell ref="B41:L41"/>
    <mergeCell ref="B42:L42"/>
    <mergeCell ref="B43:L43"/>
    <mergeCell ref="B44:L44"/>
    <mergeCell ref="D46:D47"/>
    <mergeCell ref="K28:L28"/>
    <mergeCell ref="K16:L16"/>
    <mergeCell ref="H21:H22"/>
    <mergeCell ref="J6:J7"/>
    <mergeCell ref="E6:E7"/>
    <mergeCell ref="F6:F7"/>
    <mergeCell ref="K13:L13"/>
    <mergeCell ref="J9:J12"/>
    <mergeCell ref="J13:J15"/>
    <mergeCell ref="B9:C12"/>
    <mergeCell ref="B13:C15"/>
    <mergeCell ref="D13:D15"/>
    <mergeCell ref="E13:E15"/>
    <mergeCell ref="D9:D12"/>
    <mergeCell ref="F9:F12"/>
    <mergeCell ref="H9:H12"/>
    <mergeCell ref="B8:C8"/>
    <mergeCell ref="D6:D7"/>
    <mergeCell ref="F13:F15"/>
    <mergeCell ref="G13:G15"/>
    <mergeCell ref="H13:H15"/>
    <mergeCell ref="G9:G12"/>
    <mergeCell ref="E9:E12"/>
    <mergeCell ref="I13:I15"/>
    <mergeCell ref="K12:L12"/>
    <mergeCell ref="B1:L1"/>
    <mergeCell ref="B2:L2"/>
    <mergeCell ref="B3:L3"/>
    <mergeCell ref="B4:L4"/>
    <mergeCell ref="E23:E30"/>
    <mergeCell ref="I23:I30"/>
    <mergeCell ref="J23:J30"/>
    <mergeCell ref="F23:F30"/>
    <mergeCell ref="G23:G30"/>
    <mergeCell ref="H23:H30"/>
    <mergeCell ref="I16:I18"/>
    <mergeCell ref="J16:J18"/>
    <mergeCell ref="K10:L10"/>
    <mergeCell ref="K29:L29"/>
    <mergeCell ref="G6:G7"/>
    <mergeCell ref="H6:H7"/>
    <mergeCell ref="K30:L30"/>
    <mergeCell ref="K26:L26"/>
    <mergeCell ref="I9:I12"/>
    <mergeCell ref="K6:L7"/>
    <mergeCell ref="K8:L8"/>
    <mergeCell ref="K9:L9"/>
    <mergeCell ref="I6:I7"/>
    <mergeCell ref="K20:L20"/>
    <mergeCell ref="E58:E59"/>
    <mergeCell ref="F58:F59"/>
    <mergeCell ref="G58:G59"/>
    <mergeCell ref="H58:H59"/>
    <mergeCell ref="K62:L62"/>
    <mergeCell ref="K63:L63"/>
    <mergeCell ref="B77:C77"/>
    <mergeCell ref="K77:L77"/>
    <mergeCell ref="B68:C76"/>
    <mergeCell ref="D68:D76"/>
    <mergeCell ref="E68:E76"/>
    <mergeCell ref="F68:F76"/>
    <mergeCell ref="G68:G76"/>
    <mergeCell ref="H68:H76"/>
    <mergeCell ref="I68:I76"/>
    <mergeCell ref="J68:J76"/>
    <mergeCell ref="K68:L68"/>
    <mergeCell ref="K71:L71"/>
    <mergeCell ref="K74:L74"/>
    <mergeCell ref="K76:L76"/>
    <mergeCell ref="K72:L72"/>
    <mergeCell ref="K73:L73"/>
    <mergeCell ref="B64:C67"/>
    <mergeCell ref="D64:D67"/>
    <mergeCell ref="E64:E67"/>
    <mergeCell ref="F64:F67"/>
    <mergeCell ref="G64:G67"/>
    <mergeCell ref="H64:H67"/>
    <mergeCell ref="I64:I67"/>
    <mergeCell ref="J64:J67"/>
    <mergeCell ref="K64:L64"/>
    <mergeCell ref="K67:L67"/>
    <mergeCell ref="K66:L66"/>
    <mergeCell ref="K25:L25"/>
    <mergeCell ref="K70:L70"/>
    <mergeCell ref="K52:L52"/>
    <mergeCell ref="K53:L53"/>
    <mergeCell ref="B54:C57"/>
    <mergeCell ref="D54:D57"/>
    <mergeCell ref="E54:E57"/>
    <mergeCell ref="F54:F57"/>
    <mergeCell ref="G54:G57"/>
    <mergeCell ref="H54:H57"/>
    <mergeCell ref="I54:I57"/>
    <mergeCell ref="J54:J57"/>
    <mergeCell ref="K54:L54"/>
    <mergeCell ref="K57:L57"/>
    <mergeCell ref="K55:L55"/>
    <mergeCell ref="E49:E53"/>
    <mergeCell ref="F49:F53"/>
    <mergeCell ref="G49:G53"/>
    <mergeCell ref="H49:H53"/>
    <mergeCell ref="K50:L50"/>
    <mergeCell ref="B49:C53"/>
    <mergeCell ref="D49:D53"/>
    <mergeCell ref="K51:L51"/>
    <mergeCell ref="K65:L65"/>
  </mergeCells>
  <pageMargins left="0.86614173228346458" right="1.3779527559055118" top="0.27559055118110237" bottom="0.27559055118110237" header="0.31496062992125984" footer="0.31496062992125984"/>
  <pageSetup paperSize="5" orientation="landscape" horizontalDpi="4294967292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P77"/>
  <sheetViews>
    <sheetView zoomScale="87" zoomScaleNormal="87" workbookViewId="0">
      <selection activeCell="C1" sqref="C1:P1"/>
    </sheetView>
  </sheetViews>
  <sheetFormatPr defaultRowHeight="14.4" x14ac:dyDescent="0.3"/>
  <cols>
    <col min="1" max="1" width="4.44140625" customWidth="1"/>
    <col min="2" max="2" width="18.88671875" customWidth="1"/>
    <col min="3" max="11" width="4.44140625" customWidth="1"/>
    <col min="12" max="13" width="4.6640625" customWidth="1"/>
    <col min="14" max="27" width="4.44140625" customWidth="1"/>
    <col min="28" max="28" width="4.88671875" customWidth="1"/>
    <col min="29" max="29" width="7.6640625" customWidth="1"/>
    <col min="30" max="30" width="4.88671875" customWidth="1"/>
    <col min="32" max="42" width="4.88671875" customWidth="1"/>
  </cols>
  <sheetData>
    <row r="1" spans="2:42" ht="17.25" customHeight="1" x14ac:dyDescent="0.3">
      <c r="C1" s="264" t="s">
        <v>83</v>
      </c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264"/>
    </row>
    <row r="2" spans="2:42" ht="17.25" customHeight="1" x14ac:dyDescent="0.3">
      <c r="C2" s="264" t="s">
        <v>133</v>
      </c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</row>
    <row r="3" spans="2:42" ht="17.25" customHeight="1" x14ac:dyDescent="0.3">
      <c r="C3" s="43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2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</row>
    <row r="4" spans="2:42" ht="17.25" customHeight="1" x14ac:dyDescent="0.3">
      <c r="C4" s="265" t="s">
        <v>84</v>
      </c>
      <c r="D4" s="266"/>
      <c r="E4" s="259" t="s">
        <v>56</v>
      </c>
      <c r="F4" s="259" t="s">
        <v>57</v>
      </c>
      <c r="G4" s="259" t="s">
        <v>58</v>
      </c>
      <c r="H4" s="259" t="s">
        <v>59</v>
      </c>
      <c r="I4" s="259" t="s">
        <v>60</v>
      </c>
      <c r="J4" s="259" t="s">
        <v>61</v>
      </c>
      <c r="K4" s="259" t="s">
        <v>82</v>
      </c>
      <c r="L4" s="259" t="s">
        <v>62</v>
      </c>
      <c r="M4" s="77"/>
      <c r="N4" s="259" t="s">
        <v>63</v>
      </c>
      <c r="O4" s="259" t="s">
        <v>64</v>
      </c>
      <c r="P4" s="259" t="s">
        <v>65</v>
      </c>
      <c r="Q4" s="259" t="s">
        <v>15</v>
      </c>
      <c r="S4" s="263"/>
      <c r="T4" s="263"/>
      <c r="U4" s="263"/>
      <c r="V4" s="263"/>
      <c r="W4" s="263"/>
      <c r="X4" s="263"/>
      <c r="Y4" s="263"/>
      <c r="Z4" s="69"/>
      <c r="AA4" s="263"/>
      <c r="AB4" s="263"/>
      <c r="AC4" s="263"/>
      <c r="AD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</row>
    <row r="5" spans="2:42" ht="17.25" customHeight="1" x14ac:dyDescent="0.3">
      <c r="C5" s="267"/>
      <c r="D5" s="268"/>
      <c r="E5" s="259"/>
      <c r="F5" s="259"/>
      <c r="G5" s="259"/>
      <c r="H5" s="259"/>
      <c r="I5" s="259"/>
      <c r="J5" s="259"/>
      <c r="K5" s="259"/>
      <c r="L5" s="259"/>
      <c r="M5" s="77"/>
      <c r="N5" s="259"/>
      <c r="O5" s="259"/>
      <c r="P5" s="259"/>
      <c r="Q5" s="259"/>
      <c r="S5" s="263"/>
      <c r="T5" s="263"/>
      <c r="U5" s="263"/>
      <c r="V5" s="263"/>
      <c r="W5" s="263"/>
      <c r="X5" s="263"/>
      <c r="Y5" s="263"/>
      <c r="Z5" s="69"/>
      <c r="AA5" s="263"/>
      <c r="AB5" s="263"/>
      <c r="AC5" s="263"/>
      <c r="AD5" s="263"/>
      <c r="AF5" s="263"/>
      <c r="AG5" s="263"/>
      <c r="AH5" s="263"/>
      <c r="AI5" s="263"/>
      <c r="AJ5" s="263"/>
      <c r="AK5" s="263"/>
      <c r="AL5" s="263"/>
      <c r="AM5" s="263"/>
      <c r="AN5" s="263"/>
      <c r="AO5" s="263"/>
      <c r="AP5" s="263"/>
    </row>
    <row r="6" spans="2:42" ht="17.25" customHeight="1" x14ac:dyDescent="0.3">
      <c r="C6" s="258"/>
      <c r="D6" s="258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6"/>
      <c r="Q6" s="46"/>
    </row>
    <row r="7" spans="2:42" ht="17.25" customHeight="1" x14ac:dyDescent="0.3">
      <c r="B7">
        <v>2013</v>
      </c>
      <c r="C7" s="258" t="s">
        <v>66</v>
      </c>
      <c r="D7" s="258"/>
      <c r="E7" s="45">
        <v>4</v>
      </c>
      <c r="F7" s="45"/>
      <c r="G7" s="45"/>
      <c r="H7" s="45"/>
      <c r="I7" s="45"/>
      <c r="J7" s="45"/>
      <c r="K7" s="45"/>
      <c r="L7" s="45">
        <v>4</v>
      </c>
      <c r="M7" s="45"/>
      <c r="N7" s="45"/>
      <c r="O7" s="45"/>
      <c r="P7" s="44"/>
      <c r="Q7" s="44">
        <f>SUM(E7:P7)</f>
        <v>8</v>
      </c>
    </row>
    <row r="8" spans="2:42" ht="17.25" customHeight="1" x14ac:dyDescent="0.3"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4"/>
      <c r="Q8" s="44"/>
    </row>
    <row r="9" spans="2:42" ht="17.25" customHeight="1" x14ac:dyDescent="0.3">
      <c r="C9" s="258" t="s">
        <v>67</v>
      </c>
      <c r="D9" s="258"/>
      <c r="E9" s="45">
        <v>3</v>
      </c>
      <c r="F9" s="45">
        <v>2</v>
      </c>
      <c r="G9" s="45">
        <v>5</v>
      </c>
      <c r="H9" s="45">
        <v>5</v>
      </c>
      <c r="I9" s="45">
        <v>4</v>
      </c>
      <c r="J9" s="45">
        <v>3</v>
      </c>
      <c r="K9" s="45">
        <v>3</v>
      </c>
      <c r="L9" s="45">
        <v>4</v>
      </c>
      <c r="M9" s="45"/>
      <c r="N9" s="45">
        <v>2</v>
      </c>
      <c r="O9" s="45"/>
      <c r="P9" s="44"/>
      <c r="Q9" s="44">
        <f t="shared" ref="Q9:Q17" si="0">SUM(E9:P9)</f>
        <v>31</v>
      </c>
    </row>
    <row r="10" spans="2:42" ht="17.25" customHeight="1" x14ac:dyDescent="0.3"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4"/>
      <c r="Q10" s="44"/>
    </row>
    <row r="11" spans="2:42" ht="17.25" customHeight="1" x14ac:dyDescent="0.3">
      <c r="C11" s="258" t="s">
        <v>68</v>
      </c>
      <c r="D11" s="258"/>
      <c r="E11" s="45">
        <v>4</v>
      </c>
      <c r="F11" s="45">
        <v>2</v>
      </c>
      <c r="G11" s="45">
        <v>4</v>
      </c>
      <c r="H11" s="45">
        <v>5</v>
      </c>
      <c r="I11" s="45">
        <v>4</v>
      </c>
      <c r="J11" s="45">
        <v>3</v>
      </c>
      <c r="K11" s="45">
        <v>3</v>
      </c>
      <c r="L11" s="45">
        <v>4</v>
      </c>
      <c r="M11" s="45"/>
      <c r="N11" s="45">
        <v>2</v>
      </c>
      <c r="O11" s="45"/>
      <c r="P11" s="44"/>
      <c r="Q11" s="44">
        <f t="shared" si="0"/>
        <v>31</v>
      </c>
    </row>
    <row r="12" spans="2:42" ht="17.25" customHeight="1" x14ac:dyDescent="0.3"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4"/>
      <c r="Q12" s="44"/>
    </row>
    <row r="13" spans="2:42" ht="17.25" customHeight="1" x14ac:dyDescent="0.3">
      <c r="B13">
        <v>2013</v>
      </c>
      <c r="C13" s="258" t="s">
        <v>69</v>
      </c>
      <c r="D13" s="258"/>
      <c r="E13" s="45">
        <v>4</v>
      </c>
      <c r="F13" s="45">
        <v>2</v>
      </c>
      <c r="G13" s="45">
        <v>6</v>
      </c>
      <c r="H13" s="45">
        <v>6</v>
      </c>
      <c r="I13" s="45">
        <v>4</v>
      </c>
      <c r="J13" s="45">
        <v>3</v>
      </c>
      <c r="K13" s="45">
        <v>4</v>
      </c>
      <c r="L13" s="45">
        <v>4</v>
      </c>
      <c r="M13" s="45"/>
      <c r="N13" s="45">
        <v>2</v>
      </c>
      <c r="O13" s="45"/>
      <c r="P13" s="44"/>
      <c r="Q13" s="44">
        <f t="shared" si="0"/>
        <v>35</v>
      </c>
    </row>
    <row r="14" spans="2:42" ht="17.25" customHeight="1" x14ac:dyDescent="0.3"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4"/>
      <c r="Q14" s="44"/>
    </row>
    <row r="15" spans="2:42" ht="17.25" customHeight="1" x14ac:dyDescent="0.3">
      <c r="C15" s="258" t="s">
        <v>70</v>
      </c>
      <c r="D15" s="258"/>
      <c r="E15" s="45">
        <v>4</v>
      </c>
      <c r="F15" s="45">
        <v>2</v>
      </c>
      <c r="G15" s="45">
        <v>5</v>
      </c>
      <c r="H15" s="45">
        <v>5</v>
      </c>
      <c r="I15" s="45">
        <v>4</v>
      </c>
      <c r="J15" s="45">
        <v>3</v>
      </c>
      <c r="K15" s="45">
        <v>4</v>
      </c>
      <c r="L15" s="45">
        <v>4</v>
      </c>
      <c r="M15" s="45"/>
      <c r="N15" s="45">
        <v>2</v>
      </c>
      <c r="O15" s="45">
        <v>2</v>
      </c>
      <c r="P15" s="44">
        <v>1</v>
      </c>
      <c r="Q15" s="44">
        <f t="shared" si="0"/>
        <v>36</v>
      </c>
    </row>
    <row r="16" spans="2:42" ht="17.25" customHeight="1" x14ac:dyDescent="0.3"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4"/>
      <c r="Q16" s="44"/>
    </row>
    <row r="17" spans="2:42" ht="17.25" customHeight="1" x14ac:dyDescent="0.3">
      <c r="C17" s="258" t="s">
        <v>71</v>
      </c>
      <c r="D17" s="258"/>
      <c r="E17" s="45">
        <v>4</v>
      </c>
      <c r="F17" s="45">
        <v>2</v>
      </c>
      <c r="G17" s="45">
        <v>5</v>
      </c>
      <c r="H17" s="45">
        <v>5</v>
      </c>
      <c r="I17" s="45">
        <v>4</v>
      </c>
      <c r="J17" s="45">
        <v>3</v>
      </c>
      <c r="K17" s="45">
        <v>4</v>
      </c>
      <c r="L17" s="45">
        <v>4</v>
      </c>
      <c r="M17" s="45"/>
      <c r="N17" s="45">
        <v>2</v>
      </c>
      <c r="O17" s="45">
        <v>2</v>
      </c>
      <c r="P17" s="44">
        <v>1</v>
      </c>
      <c r="Q17" s="44">
        <f t="shared" si="0"/>
        <v>36</v>
      </c>
    </row>
    <row r="18" spans="2:42" ht="17.25" customHeight="1" x14ac:dyDescent="0.3"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4"/>
      <c r="Q18" s="57"/>
    </row>
    <row r="19" spans="2:42" ht="17.25" customHeight="1" x14ac:dyDescent="0.3">
      <c r="C19" s="258"/>
      <c r="D19" s="258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4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</row>
    <row r="20" spans="2:42" ht="17.25" customHeight="1" x14ac:dyDescent="0.3"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57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</row>
    <row r="21" spans="2:42" ht="226.5" customHeight="1" x14ac:dyDescent="0.3"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57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</row>
    <row r="22" spans="2:42" x14ac:dyDescent="0.3">
      <c r="C22" s="260" t="s">
        <v>128</v>
      </c>
      <c r="D22" s="260"/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</row>
    <row r="24" spans="2:42" x14ac:dyDescent="0.3">
      <c r="C24" s="258" t="s">
        <v>99</v>
      </c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P24" s="258" t="s">
        <v>100</v>
      </c>
      <c r="Q24" s="258"/>
      <c r="R24" s="258"/>
      <c r="S24" s="258"/>
      <c r="T24" s="258"/>
      <c r="U24" s="258"/>
      <c r="V24" s="258"/>
      <c r="W24" s="258"/>
      <c r="X24" s="258"/>
      <c r="Y24" s="258"/>
      <c r="Z24" s="258"/>
      <c r="AA24" s="258"/>
      <c r="AC24" s="259" t="s">
        <v>108</v>
      </c>
    </row>
    <row r="25" spans="2:42" ht="33.75" customHeight="1" x14ac:dyDescent="0.3">
      <c r="C25" s="259" t="s">
        <v>88</v>
      </c>
      <c r="D25" s="259" t="s">
        <v>89</v>
      </c>
      <c r="E25" s="259" t="s">
        <v>90</v>
      </c>
      <c r="F25" s="259" t="s">
        <v>91</v>
      </c>
      <c r="G25" s="259" t="s">
        <v>92</v>
      </c>
      <c r="H25" s="259" t="s">
        <v>93</v>
      </c>
      <c r="I25" s="259" t="s">
        <v>148</v>
      </c>
      <c r="J25" s="259" t="s">
        <v>95</v>
      </c>
      <c r="K25" s="259" t="s">
        <v>153</v>
      </c>
      <c r="L25" s="259" t="s">
        <v>136</v>
      </c>
      <c r="M25" s="259" t="s">
        <v>96</v>
      </c>
      <c r="N25" s="259" t="s">
        <v>98</v>
      </c>
      <c r="P25" s="259" t="s">
        <v>88</v>
      </c>
      <c r="Q25" s="259" t="s">
        <v>89</v>
      </c>
      <c r="R25" s="259" t="s">
        <v>90</v>
      </c>
      <c r="S25" s="259" t="s">
        <v>91</v>
      </c>
      <c r="T25" s="259" t="s">
        <v>92</v>
      </c>
      <c r="U25" s="259" t="s">
        <v>93</v>
      </c>
      <c r="V25" s="259" t="s">
        <v>148</v>
      </c>
      <c r="W25" s="259" t="s">
        <v>95</v>
      </c>
      <c r="X25" s="259">
        <v>0</v>
      </c>
      <c r="Y25" s="259" t="s">
        <v>136</v>
      </c>
      <c r="Z25" s="259" t="s">
        <v>96</v>
      </c>
      <c r="AA25" s="259" t="s">
        <v>98</v>
      </c>
      <c r="AC25" s="259"/>
    </row>
    <row r="26" spans="2:42" ht="33.75" customHeight="1" x14ac:dyDescent="0.3">
      <c r="C26" s="259"/>
      <c r="D26" s="259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P26" s="259"/>
      <c r="Q26" s="259"/>
      <c r="R26" s="259"/>
      <c r="S26" s="259"/>
      <c r="T26" s="259"/>
      <c r="U26" s="259"/>
      <c r="V26" s="259"/>
      <c r="W26" s="259"/>
      <c r="X26" s="259"/>
      <c r="Y26" s="259"/>
      <c r="Z26" s="259"/>
      <c r="AA26" s="259"/>
      <c r="AC26" s="259"/>
    </row>
    <row r="27" spans="2:42" x14ac:dyDescent="0.3"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C27" s="56"/>
    </row>
    <row r="28" spans="2:42" x14ac:dyDescent="0.3">
      <c r="B28" t="s">
        <v>102</v>
      </c>
      <c r="C28" s="56"/>
      <c r="D28" s="56"/>
      <c r="E28" s="56"/>
      <c r="F28" s="56"/>
      <c r="G28" s="56">
        <v>24</v>
      </c>
      <c r="H28" s="56">
        <v>4</v>
      </c>
      <c r="I28" s="56"/>
      <c r="J28" s="56"/>
      <c r="K28" s="56">
        <v>4</v>
      </c>
      <c r="L28" s="56"/>
      <c r="M28" s="56"/>
      <c r="N28" s="56">
        <f>SUM(C28:M28)</f>
        <v>32</v>
      </c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>
        <f>SUM(P28:Z28)</f>
        <v>0</v>
      </c>
      <c r="AC28" s="56">
        <f>AA28+N28</f>
        <v>32</v>
      </c>
    </row>
    <row r="29" spans="2:42" x14ac:dyDescent="0.3"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C29" s="56"/>
    </row>
    <row r="30" spans="2:42" x14ac:dyDescent="0.3">
      <c r="B30" t="s">
        <v>152</v>
      </c>
      <c r="C30" s="56"/>
      <c r="D30" s="56"/>
      <c r="E30" s="56"/>
      <c r="F30" s="56">
        <v>26</v>
      </c>
      <c r="G30" s="56"/>
      <c r="H30" s="56">
        <v>4</v>
      </c>
      <c r="I30" s="56"/>
      <c r="J30" s="56"/>
      <c r="K30" s="56">
        <v>4</v>
      </c>
      <c r="L30" s="56"/>
      <c r="M30" s="56"/>
      <c r="N30" s="56">
        <f t="shared" ref="N30:N42" si="1">SUM(C30:M30)</f>
        <v>34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>
        <f t="shared" ref="AA30:AA40" si="2">SUM(P30:Z30)</f>
        <v>0</v>
      </c>
      <c r="AC30" s="56">
        <f>AA30+N30</f>
        <v>34</v>
      </c>
    </row>
    <row r="31" spans="2:42" x14ac:dyDescent="0.3"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C31" s="56"/>
    </row>
    <row r="32" spans="2:42" x14ac:dyDescent="0.3">
      <c r="B32" t="s">
        <v>104</v>
      </c>
      <c r="C32" s="56"/>
      <c r="D32" s="56"/>
      <c r="E32" s="56"/>
      <c r="F32" s="56"/>
      <c r="G32" s="56"/>
      <c r="H32" s="56">
        <v>4</v>
      </c>
      <c r="I32" s="56"/>
      <c r="J32" s="56"/>
      <c r="K32" s="56">
        <v>4</v>
      </c>
      <c r="L32" s="56">
        <v>28</v>
      </c>
      <c r="M32" s="56"/>
      <c r="N32" s="56">
        <f t="shared" si="1"/>
        <v>36</v>
      </c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>
        <f t="shared" si="2"/>
        <v>0</v>
      </c>
      <c r="AC32" s="56">
        <f t="shared" ref="AC32:AC40" si="3">AA32+N32</f>
        <v>36</v>
      </c>
    </row>
    <row r="33" spans="2:29" x14ac:dyDescent="0.3"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C33" s="56"/>
    </row>
    <row r="34" spans="2:29" x14ac:dyDescent="0.3">
      <c r="B34" t="s">
        <v>104</v>
      </c>
      <c r="C34" s="56"/>
      <c r="D34" s="56"/>
      <c r="E34" s="56"/>
      <c r="F34" s="56"/>
      <c r="G34" s="56"/>
      <c r="H34" s="56">
        <v>4</v>
      </c>
      <c r="I34" s="56"/>
      <c r="J34" s="56"/>
      <c r="K34" s="56"/>
      <c r="L34" s="56"/>
      <c r="M34" s="56">
        <v>32</v>
      </c>
      <c r="N34" s="56">
        <f t="shared" si="1"/>
        <v>36</v>
      </c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>
        <f t="shared" si="2"/>
        <v>0</v>
      </c>
      <c r="AC34" s="56">
        <f t="shared" si="3"/>
        <v>36</v>
      </c>
    </row>
    <row r="35" spans="2:29" x14ac:dyDescent="0.3"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C35" s="56"/>
    </row>
    <row r="36" spans="2:29" x14ac:dyDescent="0.3">
      <c r="B36" t="s">
        <v>137</v>
      </c>
      <c r="C36" s="56"/>
      <c r="D36" s="56"/>
      <c r="E36" s="56"/>
      <c r="F36" s="56"/>
      <c r="G36" s="56"/>
      <c r="H36" s="56">
        <v>4</v>
      </c>
      <c r="I36" s="56"/>
      <c r="J36" s="56">
        <v>30</v>
      </c>
      <c r="K36" s="56">
        <v>4</v>
      </c>
      <c r="L36" s="56"/>
      <c r="M36" s="56"/>
      <c r="N36" s="56">
        <f t="shared" si="1"/>
        <v>38</v>
      </c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>
        <f t="shared" si="2"/>
        <v>0</v>
      </c>
      <c r="AC36" s="56">
        <f>AA36+N36+J42</f>
        <v>38</v>
      </c>
    </row>
    <row r="37" spans="2:29" x14ac:dyDescent="0.3"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C37" s="56"/>
    </row>
    <row r="38" spans="2:29" x14ac:dyDescent="0.3">
      <c r="B38" t="s">
        <v>106</v>
      </c>
      <c r="C38" s="56"/>
      <c r="D38" s="56"/>
      <c r="E38" s="56"/>
      <c r="F38" s="56"/>
      <c r="G38" s="56"/>
      <c r="H38" s="56">
        <v>4</v>
      </c>
      <c r="I38" s="56">
        <v>30</v>
      </c>
      <c r="J38" s="56"/>
      <c r="K38" s="56">
        <v>4</v>
      </c>
      <c r="L38" s="56"/>
      <c r="M38" s="56"/>
      <c r="N38" s="56">
        <f t="shared" si="1"/>
        <v>38</v>
      </c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>
        <f t="shared" si="2"/>
        <v>0</v>
      </c>
      <c r="AC38" s="56">
        <f t="shared" si="3"/>
        <v>38</v>
      </c>
    </row>
    <row r="39" spans="2:29" x14ac:dyDescent="0.3"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C39" s="56"/>
    </row>
    <row r="40" spans="2:29" x14ac:dyDescent="0.3">
      <c r="B40" t="s">
        <v>107</v>
      </c>
      <c r="C40" s="56"/>
      <c r="D40" s="56"/>
      <c r="E40" s="56">
        <v>30</v>
      </c>
      <c r="F40" s="56"/>
      <c r="G40" s="56"/>
      <c r="H40" s="56">
        <v>4</v>
      </c>
      <c r="I40" s="56"/>
      <c r="J40" s="56"/>
      <c r="K40" s="56">
        <v>4</v>
      </c>
      <c r="L40" s="56"/>
      <c r="M40" s="56"/>
      <c r="N40" s="56">
        <f t="shared" si="1"/>
        <v>38</v>
      </c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>
        <f t="shared" si="2"/>
        <v>0</v>
      </c>
      <c r="AC40" s="56">
        <f t="shared" si="3"/>
        <v>38</v>
      </c>
    </row>
    <row r="41" spans="2:29" x14ac:dyDescent="0.3"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C41" s="56"/>
    </row>
    <row r="42" spans="2:29" x14ac:dyDescent="0.3"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>
        <f t="shared" si="1"/>
        <v>0</v>
      </c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C42" s="56"/>
    </row>
    <row r="43" spans="2:29" ht="8.25" customHeight="1" x14ac:dyDescent="0.3"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C43" s="56"/>
    </row>
    <row r="44" spans="2:29" ht="1.5" customHeight="1" x14ac:dyDescent="0.3"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C44" s="56"/>
    </row>
    <row r="45" spans="2:29" ht="15" customHeight="1" x14ac:dyDescent="0.3">
      <c r="C45" s="56">
        <f>SUM(C27:C44)</f>
        <v>0</v>
      </c>
      <c r="D45" s="56">
        <f t="shared" ref="D45:M45" si="4">SUM(D27:D44)</f>
        <v>0</v>
      </c>
      <c r="E45" s="56">
        <f t="shared" si="4"/>
        <v>30</v>
      </c>
      <c r="F45" s="56">
        <f t="shared" si="4"/>
        <v>26</v>
      </c>
      <c r="G45" s="56">
        <f t="shared" si="4"/>
        <v>24</v>
      </c>
      <c r="H45" s="56">
        <f t="shared" si="4"/>
        <v>28</v>
      </c>
      <c r="I45" s="56">
        <f t="shared" si="4"/>
        <v>30</v>
      </c>
      <c r="J45" s="56">
        <f t="shared" si="4"/>
        <v>30</v>
      </c>
      <c r="K45" s="56">
        <f t="shared" si="4"/>
        <v>24</v>
      </c>
      <c r="L45" s="56">
        <f t="shared" si="4"/>
        <v>28</v>
      </c>
      <c r="M45" s="56">
        <f t="shared" si="4"/>
        <v>32</v>
      </c>
      <c r="N45" s="56"/>
      <c r="P45" s="56">
        <f>SUM(P28:P40)</f>
        <v>0</v>
      </c>
      <c r="Q45" s="56">
        <f t="shared" ref="Q45" si="5">SUM(Q28:Q40)</f>
        <v>0</v>
      </c>
      <c r="R45" s="56">
        <f t="shared" ref="R45" si="6">SUM(R28:R40)</f>
        <v>0</v>
      </c>
      <c r="S45" s="56">
        <f t="shared" ref="S45" si="7">SUM(S28:S40)</f>
        <v>0</v>
      </c>
      <c r="T45" s="56">
        <f t="shared" ref="T45" si="8">SUM(T28:T40)</f>
        <v>0</v>
      </c>
      <c r="U45" s="56">
        <f t="shared" ref="U45" si="9">SUM(U28:U40)</f>
        <v>0</v>
      </c>
      <c r="V45" s="56">
        <f t="shared" ref="V45" si="10">SUM(V28:V40)</f>
        <v>0</v>
      </c>
      <c r="W45" s="56">
        <f t="shared" ref="W45" si="11">SUM(W28:W40)</f>
        <v>0</v>
      </c>
      <c r="X45" s="56">
        <f t="shared" ref="X45" si="12">SUM(X28:X40)</f>
        <v>0</v>
      </c>
      <c r="Y45" s="56">
        <f t="shared" ref="Y45:Z45" si="13">SUM(Y28:Y40)</f>
        <v>0</v>
      </c>
      <c r="Z45" s="56">
        <f t="shared" si="13"/>
        <v>0</v>
      </c>
      <c r="AA45" s="56"/>
      <c r="AC45" s="56"/>
    </row>
    <row r="46" spans="2:29" ht="36.75" customHeight="1" x14ac:dyDescent="0.3">
      <c r="C46" s="259"/>
      <c r="D46" s="261" t="s">
        <v>101</v>
      </c>
      <c r="E46" s="261" t="s">
        <v>101</v>
      </c>
      <c r="F46" s="261" t="s">
        <v>101</v>
      </c>
      <c r="G46" s="261" t="s">
        <v>135</v>
      </c>
      <c r="H46" s="259" t="s">
        <v>72</v>
      </c>
      <c r="I46" s="261" t="s">
        <v>135</v>
      </c>
      <c r="J46" s="261" t="s">
        <v>135</v>
      </c>
      <c r="K46" s="259" t="s">
        <v>127</v>
      </c>
      <c r="L46" s="261" t="s">
        <v>101</v>
      </c>
      <c r="M46" s="259" t="s">
        <v>150</v>
      </c>
      <c r="N46" s="259"/>
      <c r="P46" s="259"/>
      <c r="Q46" s="261" t="s">
        <v>63</v>
      </c>
      <c r="R46" s="261"/>
      <c r="S46" s="259"/>
      <c r="T46" s="259"/>
      <c r="U46" s="259"/>
      <c r="V46" s="259"/>
      <c r="W46" s="259"/>
      <c r="X46" s="259" t="s">
        <v>127</v>
      </c>
      <c r="Y46" s="259" t="s">
        <v>134</v>
      </c>
      <c r="Z46" s="259" t="s">
        <v>149</v>
      </c>
      <c r="AA46" s="259"/>
      <c r="AC46" s="56"/>
    </row>
    <row r="47" spans="2:29" ht="109.5" customHeight="1" x14ac:dyDescent="0.3">
      <c r="C47" s="259"/>
      <c r="D47" s="262"/>
      <c r="E47" s="262"/>
      <c r="F47" s="262"/>
      <c r="G47" s="262"/>
      <c r="H47" s="259"/>
      <c r="I47" s="262"/>
      <c r="J47" s="262"/>
      <c r="K47" s="259"/>
      <c r="L47" s="262"/>
      <c r="M47" s="259"/>
      <c r="N47" s="259"/>
      <c r="P47" s="259"/>
      <c r="Q47" s="262"/>
      <c r="R47" s="262"/>
      <c r="S47" s="259"/>
      <c r="T47" s="259"/>
      <c r="U47" s="259"/>
      <c r="V47" s="259"/>
      <c r="W47" s="259"/>
      <c r="X47" s="259"/>
      <c r="Y47" s="259"/>
      <c r="Z47" s="259"/>
      <c r="AA47" s="259"/>
      <c r="AC47" s="56">
        <f>SUM(AC28:AC40)</f>
        <v>252</v>
      </c>
    </row>
    <row r="49" spans="2:29" x14ac:dyDescent="0.3">
      <c r="B49" s="58" t="s">
        <v>109</v>
      </c>
      <c r="C49" s="59">
        <f t="shared" ref="C49:M49" si="14">C45+P45</f>
        <v>0</v>
      </c>
      <c r="D49" s="59">
        <f t="shared" si="14"/>
        <v>0</v>
      </c>
      <c r="E49" s="59">
        <f t="shared" si="14"/>
        <v>30</v>
      </c>
      <c r="F49" s="59">
        <f t="shared" si="14"/>
        <v>26</v>
      </c>
      <c r="G49" s="59">
        <f t="shared" si="14"/>
        <v>24</v>
      </c>
      <c r="H49" s="59">
        <f t="shared" si="14"/>
        <v>28</v>
      </c>
      <c r="I49" s="59">
        <f t="shared" si="14"/>
        <v>30</v>
      </c>
      <c r="J49" s="59">
        <f t="shared" si="14"/>
        <v>30</v>
      </c>
      <c r="K49" s="59">
        <f t="shared" si="14"/>
        <v>24</v>
      </c>
      <c r="L49" s="59">
        <f t="shared" si="14"/>
        <v>28</v>
      </c>
      <c r="M49" s="59">
        <f t="shared" si="14"/>
        <v>32</v>
      </c>
      <c r="N49" s="59"/>
      <c r="AC49">
        <f>SUM(C49:M49)</f>
        <v>252</v>
      </c>
    </row>
    <row r="52" spans="2:29" ht="125.25" customHeight="1" x14ac:dyDescent="0.3"/>
    <row r="54" spans="2:29" x14ac:dyDescent="0.3">
      <c r="C54" s="260" t="s">
        <v>129</v>
      </c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  <c r="AA54" s="260"/>
    </row>
    <row r="56" spans="2:29" x14ac:dyDescent="0.3">
      <c r="C56" s="258" t="s">
        <v>99</v>
      </c>
      <c r="D56" s="258"/>
      <c r="E56" s="258"/>
      <c r="F56" s="258"/>
      <c r="G56" s="258"/>
      <c r="H56" s="258"/>
      <c r="I56" s="258"/>
      <c r="J56" s="258"/>
      <c r="K56" s="258"/>
      <c r="L56" s="258"/>
      <c r="M56" s="258"/>
      <c r="N56" s="258"/>
      <c r="P56" s="258" t="s">
        <v>100</v>
      </c>
      <c r="Q56" s="258"/>
      <c r="R56" s="258"/>
      <c r="S56" s="258"/>
      <c r="T56" s="258"/>
      <c r="U56" s="258"/>
      <c r="V56" s="258"/>
      <c r="W56" s="258"/>
      <c r="X56" s="258"/>
      <c r="Y56" s="258"/>
      <c r="Z56" s="258"/>
      <c r="AA56" s="258"/>
      <c r="AC56" s="259" t="s">
        <v>108</v>
      </c>
    </row>
    <row r="57" spans="2:29" x14ac:dyDescent="0.3">
      <c r="C57" s="259" t="s">
        <v>88</v>
      </c>
      <c r="D57" s="259" t="s">
        <v>89</v>
      </c>
      <c r="E57" s="259" t="s">
        <v>90</v>
      </c>
      <c r="F57" s="259" t="s">
        <v>91</v>
      </c>
      <c r="G57" s="259" t="s">
        <v>92</v>
      </c>
      <c r="H57" s="259" t="s">
        <v>93</v>
      </c>
      <c r="I57" s="259" t="s">
        <v>94</v>
      </c>
      <c r="J57" s="259" t="s">
        <v>95</v>
      </c>
      <c r="K57" s="259" t="s">
        <v>96</v>
      </c>
      <c r="L57" s="259" t="s">
        <v>97</v>
      </c>
      <c r="M57" s="77"/>
      <c r="N57" s="259" t="s">
        <v>98</v>
      </c>
      <c r="P57" s="259" t="s">
        <v>88</v>
      </c>
      <c r="Q57" s="259" t="s">
        <v>89</v>
      </c>
      <c r="R57" s="259" t="s">
        <v>90</v>
      </c>
      <c r="S57" s="259" t="s">
        <v>91</v>
      </c>
      <c r="T57" s="259" t="s">
        <v>92</v>
      </c>
      <c r="U57" s="259" t="s">
        <v>93</v>
      </c>
      <c r="V57" s="259" t="s">
        <v>94</v>
      </c>
      <c r="W57" s="259" t="s">
        <v>95</v>
      </c>
      <c r="X57" s="259" t="s">
        <v>96</v>
      </c>
      <c r="Y57" s="259" t="s">
        <v>97</v>
      </c>
      <c r="Z57" s="77"/>
      <c r="AA57" s="259" t="s">
        <v>98</v>
      </c>
      <c r="AC57" s="259"/>
    </row>
    <row r="58" spans="2:29" ht="36" customHeight="1" x14ac:dyDescent="0.3"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77"/>
      <c r="N58" s="259"/>
      <c r="P58" s="259"/>
      <c r="Q58" s="259"/>
      <c r="R58" s="259"/>
      <c r="S58" s="259"/>
      <c r="T58" s="259"/>
      <c r="U58" s="259"/>
      <c r="V58" s="259"/>
      <c r="W58" s="259"/>
      <c r="X58" s="259"/>
      <c r="Y58" s="259"/>
      <c r="Z58" s="77"/>
      <c r="AA58" s="259"/>
      <c r="AC58" s="259"/>
    </row>
    <row r="59" spans="2:29" x14ac:dyDescent="0.3"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C59" s="56"/>
    </row>
    <row r="60" spans="2:29" x14ac:dyDescent="0.3">
      <c r="B60" t="s">
        <v>102</v>
      </c>
      <c r="C60" s="56"/>
      <c r="D60" s="56"/>
      <c r="E60" s="56"/>
      <c r="F60" s="56"/>
      <c r="G60" s="56">
        <v>24</v>
      </c>
      <c r="H60" s="56">
        <v>4</v>
      </c>
      <c r="I60" s="56"/>
      <c r="J60" s="56"/>
      <c r="K60" s="56">
        <v>4</v>
      </c>
      <c r="L60" s="56"/>
      <c r="M60" s="56"/>
      <c r="N60" s="56">
        <f>SUM(C60:L60)</f>
        <v>32</v>
      </c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>
        <f>SUM(P60:Y60)</f>
        <v>0</v>
      </c>
      <c r="AC60" s="56">
        <f>AA60+N60</f>
        <v>32</v>
      </c>
    </row>
    <row r="61" spans="2:29" x14ac:dyDescent="0.3"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C61" s="56"/>
    </row>
    <row r="62" spans="2:29" x14ac:dyDescent="0.3">
      <c r="B62" t="s">
        <v>102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C62" s="56"/>
    </row>
    <row r="63" spans="2:29" x14ac:dyDescent="0.3"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C63" s="56"/>
    </row>
    <row r="64" spans="2:29" x14ac:dyDescent="0.3">
      <c r="B64" t="s">
        <v>103</v>
      </c>
      <c r="C64" s="56"/>
      <c r="D64" s="56"/>
      <c r="E64" s="56"/>
      <c r="F64" s="56">
        <v>24</v>
      </c>
      <c r="G64" s="56"/>
      <c r="H64" s="56">
        <v>2</v>
      </c>
      <c r="I64" s="56"/>
      <c r="J64" s="56"/>
      <c r="K64" s="56">
        <v>2</v>
      </c>
      <c r="L64" s="56"/>
      <c r="M64" s="56"/>
      <c r="N64" s="56">
        <f t="shared" ref="N64" si="15">SUM(C64:L64)</f>
        <v>28</v>
      </c>
      <c r="P64" s="56"/>
      <c r="Q64" s="56"/>
      <c r="R64" s="56"/>
      <c r="S64" s="56"/>
      <c r="T64" s="56"/>
      <c r="U64" s="56">
        <v>2</v>
      </c>
      <c r="V64" s="56"/>
      <c r="W64" s="56"/>
      <c r="X64" s="56">
        <v>1</v>
      </c>
      <c r="Y64" s="56"/>
      <c r="Z64" s="56"/>
      <c r="AA64" s="56">
        <f t="shared" ref="AA64" si="16">SUM(P64:Y64)</f>
        <v>3</v>
      </c>
      <c r="AC64" s="56">
        <f t="shared" ref="AC64" si="17">AA64+N64</f>
        <v>31</v>
      </c>
    </row>
    <row r="65" spans="2:29" x14ac:dyDescent="0.3"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C65" s="56"/>
    </row>
    <row r="66" spans="2:29" x14ac:dyDescent="0.3">
      <c r="B66" t="s">
        <v>104</v>
      </c>
      <c r="C66" s="56"/>
      <c r="D66" s="56"/>
      <c r="E66" s="56"/>
      <c r="F66" s="56"/>
      <c r="G66" s="56"/>
      <c r="H66" s="56">
        <v>2</v>
      </c>
      <c r="I66" s="56"/>
      <c r="J66" s="56"/>
      <c r="K66" s="56">
        <v>2</v>
      </c>
      <c r="L66" s="56">
        <v>24</v>
      </c>
      <c r="M66" s="56"/>
      <c r="N66" s="56">
        <f t="shared" ref="N66" si="18">SUM(C66:L66)</f>
        <v>28</v>
      </c>
      <c r="P66" s="56"/>
      <c r="Q66" s="56"/>
      <c r="R66" s="56"/>
      <c r="S66" s="56"/>
      <c r="T66" s="56"/>
      <c r="U66" s="56">
        <v>2</v>
      </c>
      <c r="V66" s="56"/>
      <c r="W66" s="56"/>
      <c r="X66" s="56">
        <v>2</v>
      </c>
      <c r="Y66" s="56"/>
      <c r="Z66" s="56"/>
      <c r="AA66" s="56">
        <f t="shared" ref="AA66" si="19">SUM(P66:Y66)</f>
        <v>4</v>
      </c>
      <c r="AC66" s="56">
        <f t="shared" ref="AC66" si="20">AA66+N66</f>
        <v>32</v>
      </c>
    </row>
    <row r="67" spans="2:29" x14ac:dyDescent="0.3"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C67" s="56"/>
    </row>
    <row r="68" spans="2:29" x14ac:dyDescent="0.3">
      <c r="B68" t="s">
        <v>105</v>
      </c>
      <c r="C68" s="56"/>
      <c r="D68" s="56"/>
      <c r="E68" s="56"/>
      <c r="F68" s="56"/>
      <c r="G68" s="56"/>
      <c r="H68" s="56">
        <v>4</v>
      </c>
      <c r="I68" s="56"/>
      <c r="J68" s="56">
        <v>28</v>
      </c>
      <c r="K68" s="56">
        <v>4</v>
      </c>
      <c r="L68" s="56"/>
      <c r="M68" s="56"/>
      <c r="N68" s="56">
        <f t="shared" ref="N68" si="21">SUM(C68:L68)</f>
        <v>36</v>
      </c>
      <c r="P68" s="56"/>
      <c r="Q68" s="56"/>
      <c r="R68" s="56"/>
      <c r="S68" s="56"/>
      <c r="T68" s="56"/>
      <c r="U68" s="56"/>
      <c r="V68" s="56">
        <v>2</v>
      </c>
      <c r="W68" s="56"/>
      <c r="X68" s="56"/>
      <c r="Y68" s="56"/>
      <c r="Z68" s="56"/>
      <c r="AA68" s="56">
        <f t="shared" ref="AA68" si="22">SUM(P68:Y68)</f>
        <v>2</v>
      </c>
      <c r="AC68" s="56">
        <f t="shared" ref="AC68" si="23">AA68+N68</f>
        <v>38</v>
      </c>
    </row>
    <row r="69" spans="2:29" x14ac:dyDescent="0.3"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C69" s="56"/>
    </row>
    <row r="70" spans="2:29" x14ac:dyDescent="0.3">
      <c r="B70" t="s">
        <v>106</v>
      </c>
      <c r="C70" s="56"/>
      <c r="D70" s="56">
        <v>25</v>
      </c>
      <c r="E70" s="56"/>
      <c r="F70" s="56"/>
      <c r="G70" s="56"/>
      <c r="H70" s="56">
        <v>4</v>
      </c>
      <c r="I70" s="56"/>
      <c r="J70" s="56"/>
      <c r="K70" s="56">
        <v>3</v>
      </c>
      <c r="L70" s="56"/>
      <c r="M70" s="56"/>
      <c r="N70" s="56">
        <f t="shared" ref="N70" si="24">SUM(C70:L70)</f>
        <v>32</v>
      </c>
      <c r="P70" s="56"/>
      <c r="Q70" s="56">
        <v>1</v>
      </c>
      <c r="R70" s="56"/>
      <c r="S70" s="56"/>
      <c r="T70" s="56"/>
      <c r="U70" s="56"/>
      <c r="V70" s="56">
        <v>2</v>
      </c>
      <c r="W70" s="56"/>
      <c r="X70" s="56">
        <v>1</v>
      </c>
      <c r="Y70" s="56"/>
      <c r="Z70" s="56"/>
      <c r="AA70" s="56">
        <f t="shared" ref="AA70" si="25">SUM(P70:Y70)</f>
        <v>4</v>
      </c>
      <c r="AC70" s="56">
        <f t="shared" ref="AC70" si="26">AA70+N70</f>
        <v>36</v>
      </c>
    </row>
    <row r="71" spans="2:29" x14ac:dyDescent="0.3"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C71" s="56"/>
    </row>
    <row r="72" spans="2:29" x14ac:dyDescent="0.3">
      <c r="B72" t="s">
        <v>107</v>
      </c>
      <c r="C72" s="56"/>
      <c r="D72" s="56"/>
      <c r="E72" s="56">
        <v>25</v>
      </c>
      <c r="F72" s="56"/>
      <c r="G72" s="56"/>
      <c r="H72" s="56">
        <v>4</v>
      </c>
      <c r="I72" s="56"/>
      <c r="J72" s="56"/>
      <c r="K72" s="56">
        <v>3</v>
      </c>
      <c r="L72" s="56"/>
      <c r="M72" s="56"/>
      <c r="N72" s="56">
        <f t="shared" ref="N72" si="27">SUM(C72:L72)</f>
        <v>32</v>
      </c>
      <c r="P72" s="56"/>
      <c r="Q72" s="56"/>
      <c r="R72" s="56"/>
      <c r="S72" s="56"/>
      <c r="T72" s="56"/>
      <c r="U72" s="56"/>
      <c r="V72" s="56">
        <v>2</v>
      </c>
      <c r="W72" s="56"/>
      <c r="X72" s="56">
        <v>2</v>
      </c>
      <c r="Y72" s="56"/>
      <c r="Z72" s="56"/>
      <c r="AA72" s="56">
        <f t="shared" ref="AA72" si="28">SUM(P72:Y72)</f>
        <v>4</v>
      </c>
      <c r="AC72" s="56">
        <f t="shared" ref="AC72" si="29">AA72+N72</f>
        <v>36</v>
      </c>
    </row>
    <row r="73" spans="2:29" x14ac:dyDescent="0.3">
      <c r="C73" s="56">
        <f t="shared" ref="C73:L73" si="30">SUM(C60:C72)</f>
        <v>0</v>
      </c>
      <c r="D73" s="56">
        <f t="shared" si="30"/>
        <v>25</v>
      </c>
      <c r="E73" s="56">
        <f t="shared" si="30"/>
        <v>25</v>
      </c>
      <c r="F73" s="56">
        <f t="shared" si="30"/>
        <v>24</v>
      </c>
      <c r="G73" s="56">
        <f t="shared" si="30"/>
        <v>24</v>
      </c>
      <c r="H73" s="56">
        <f t="shared" si="30"/>
        <v>20</v>
      </c>
      <c r="I73" s="56">
        <f t="shared" si="30"/>
        <v>0</v>
      </c>
      <c r="J73" s="56">
        <f t="shared" si="30"/>
        <v>28</v>
      </c>
      <c r="K73" s="56">
        <f t="shared" si="30"/>
        <v>18</v>
      </c>
      <c r="L73" s="56">
        <f t="shared" si="30"/>
        <v>24</v>
      </c>
      <c r="M73" s="56"/>
      <c r="N73" s="56"/>
      <c r="P73" s="56">
        <f>SUM(P60:P72)</f>
        <v>0</v>
      </c>
      <c r="Q73" s="56">
        <f t="shared" ref="Q73:Y73" si="31">SUM(Q60:Q72)</f>
        <v>1</v>
      </c>
      <c r="R73" s="56">
        <f t="shared" si="31"/>
        <v>0</v>
      </c>
      <c r="S73" s="56">
        <f t="shared" si="31"/>
        <v>0</v>
      </c>
      <c r="T73" s="56">
        <f t="shared" si="31"/>
        <v>0</v>
      </c>
      <c r="U73" s="56">
        <f t="shared" si="31"/>
        <v>4</v>
      </c>
      <c r="V73" s="56">
        <f t="shared" si="31"/>
        <v>6</v>
      </c>
      <c r="W73" s="56">
        <f t="shared" si="31"/>
        <v>0</v>
      </c>
      <c r="X73" s="56">
        <f t="shared" si="31"/>
        <v>6</v>
      </c>
      <c r="Y73" s="56">
        <f t="shared" si="31"/>
        <v>0</v>
      </c>
      <c r="Z73" s="56"/>
      <c r="AA73" s="56"/>
      <c r="AC73" s="56"/>
    </row>
    <row r="74" spans="2:29" ht="15" customHeight="1" x14ac:dyDescent="0.3">
      <c r="C74" s="259"/>
      <c r="D74" s="259" t="s">
        <v>126</v>
      </c>
      <c r="E74" s="259" t="s">
        <v>132</v>
      </c>
      <c r="F74" s="259" t="s">
        <v>130</v>
      </c>
      <c r="G74" s="259" t="s">
        <v>130</v>
      </c>
      <c r="H74" s="259" t="s">
        <v>72</v>
      </c>
      <c r="I74" s="261" t="s">
        <v>101</v>
      </c>
      <c r="J74" s="261" t="s">
        <v>101</v>
      </c>
      <c r="K74" s="259" t="s">
        <v>127</v>
      </c>
      <c r="L74" s="259" t="s">
        <v>130</v>
      </c>
      <c r="M74" s="77"/>
      <c r="N74" s="259"/>
      <c r="P74" s="259"/>
      <c r="Q74" s="259" t="s">
        <v>63</v>
      </c>
      <c r="R74" s="259"/>
      <c r="S74" s="259"/>
      <c r="T74" s="259"/>
      <c r="U74" s="259" t="s">
        <v>72</v>
      </c>
      <c r="V74" s="259" t="s">
        <v>131</v>
      </c>
      <c r="W74" s="259" t="s">
        <v>63</v>
      </c>
      <c r="X74" s="259" t="s">
        <v>122</v>
      </c>
      <c r="Y74" s="259"/>
      <c r="Z74" s="77"/>
      <c r="AA74" s="259"/>
      <c r="AC74" s="56"/>
    </row>
    <row r="75" spans="2:29" ht="81.75" customHeight="1" x14ac:dyDescent="0.3">
      <c r="C75" s="259"/>
      <c r="D75" s="259"/>
      <c r="E75" s="259"/>
      <c r="F75" s="259"/>
      <c r="G75" s="259"/>
      <c r="H75" s="259"/>
      <c r="I75" s="262"/>
      <c r="J75" s="262"/>
      <c r="K75" s="259"/>
      <c r="L75" s="259"/>
      <c r="M75" s="77"/>
      <c r="N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77"/>
      <c r="AA75" s="259"/>
      <c r="AC75" s="56"/>
    </row>
    <row r="77" spans="2:29" x14ac:dyDescent="0.3">
      <c r="B77" s="58" t="s">
        <v>109</v>
      </c>
      <c r="C77" s="59">
        <f t="shared" ref="C77" si="32">C73+P73</f>
        <v>0</v>
      </c>
      <c r="D77" s="59">
        <f t="shared" ref="D77" si="33">D73+Q73</f>
        <v>26</v>
      </c>
      <c r="E77" s="59">
        <f t="shared" ref="E77" si="34">E73+R73</f>
        <v>25</v>
      </c>
      <c r="F77" s="59">
        <f t="shared" ref="F77" si="35">F73+S73</f>
        <v>24</v>
      </c>
      <c r="G77" s="59">
        <f t="shared" ref="G77" si="36">G73+T73</f>
        <v>24</v>
      </c>
      <c r="H77" s="59">
        <f t="shared" ref="H77" si="37">H73+U73</f>
        <v>24</v>
      </c>
      <c r="I77" s="59">
        <f t="shared" ref="I77" si="38">I73+V73</f>
        <v>6</v>
      </c>
      <c r="J77" s="59">
        <f t="shared" ref="J77" si="39">J73+W73</f>
        <v>28</v>
      </c>
      <c r="K77" s="59">
        <f t="shared" ref="K77" si="40">K73+X73</f>
        <v>24</v>
      </c>
      <c r="L77" s="59">
        <f t="shared" ref="L77" si="41">L73+Y73</f>
        <v>24</v>
      </c>
      <c r="M77" s="59"/>
      <c r="N77" s="59"/>
    </row>
  </sheetData>
  <mergeCells count="147">
    <mergeCell ref="C74:C75"/>
    <mergeCell ref="D74:D75"/>
    <mergeCell ref="E74:E75"/>
    <mergeCell ref="F74:F75"/>
    <mergeCell ref="G74:G75"/>
    <mergeCell ref="Y74:Y75"/>
    <mergeCell ref="AA74:AA75"/>
    <mergeCell ref="T74:T75"/>
    <mergeCell ref="U74:U75"/>
    <mergeCell ref="V74:V75"/>
    <mergeCell ref="W74:W75"/>
    <mergeCell ref="X74:X75"/>
    <mergeCell ref="N74:N75"/>
    <mergeCell ref="P74:P75"/>
    <mergeCell ref="Q74:Q75"/>
    <mergeCell ref="R74:R75"/>
    <mergeCell ref="S74:S75"/>
    <mergeCell ref="R57:R58"/>
    <mergeCell ref="S57:S58"/>
    <mergeCell ref="T57:T58"/>
    <mergeCell ref="U57:U58"/>
    <mergeCell ref="H74:H75"/>
    <mergeCell ref="I74:I75"/>
    <mergeCell ref="J74:J75"/>
    <mergeCell ref="K74:K75"/>
    <mergeCell ref="L74:L75"/>
    <mergeCell ref="C9:D9"/>
    <mergeCell ref="E4:E5"/>
    <mergeCell ref="C54:AA54"/>
    <mergeCell ref="C56:N56"/>
    <mergeCell ref="P56:AA56"/>
    <mergeCell ref="AC56:AC58"/>
    <mergeCell ref="C57:C58"/>
    <mergeCell ref="D57:D58"/>
    <mergeCell ref="E57:E58"/>
    <mergeCell ref="F57:F58"/>
    <mergeCell ref="G57:G58"/>
    <mergeCell ref="H57:H58"/>
    <mergeCell ref="I57:I58"/>
    <mergeCell ref="J57:J58"/>
    <mergeCell ref="K57:K58"/>
    <mergeCell ref="L57:L58"/>
    <mergeCell ref="N57:N58"/>
    <mergeCell ref="P57:P58"/>
    <mergeCell ref="V57:V58"/>
    <mergeCell ref="W57:W58"/>
    <mergeCell ref="X57:X58"/>
    <mergeCell ref="Y57:Y58"/>
    <mergeCell ref="AA57:AA58"/>
    <mergeCell ref="Q57:Q58"/>
    <mergeCell ref="C1:P1"/>
    <mergeCell ref="C2:P2"/>
    <mergeCell ref="C4:D5"/>
    <mergeCell ref="C11:D11"/>
    <mergeCell ref="K4:K5"/>
    <mergeCell ref="L4:L5"/>
    <mergeCell ref="AF3:AP3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W4:W5"/>
    <mergeCell ref="F4:F5"/>
    <mergeCell ref="AD4:AD5"/>
    <mergeCell ref="S3:AD3"/>
    <mergeCell ref="X4:X5"/>
    <mergeCell ref="Y4:Y5"/>
    <mergeCell ref="AA4:AA5"/>
    <mergeCell ref="AB4:AB5"/>
    <mergeCell ref="AC4:AC5"/>
    <mergeCell ref="S4:S5"/>
    <mergeCell ref="T4:T5"/>
    <mergeCell ref="U4:U5"/>
    <mergeCell ref="V4:V5"/>
    <mergeCell ref="Q4:Q5"/>
    <mergeCell ref="C24:N24"/>
    <mergeCell ref="P24:AA24"/>
    <mergeCell ref="AC24:AC26"/>
    <mergeCell ref="C13:D13"/>
    <mergeCell ref="P4:P5"/>
    <mergeCell ref="C15:D15"/>
    <mergeCell ref="C17:D17"/>
    <mergeCell ref="C19:D19"/>
    <mergeCell ref="N4:N5"/>
    <mergeCell ref="O4:O5"/>
    <mergeCell ref="G4:G5"/>
    <mergeCell ref="H4:H5"/>
    <mergeCell ref="I4:I5"/>
    <mergeCell ref="J4:J5"/>
    <mergeCell ref="C6:D6"/>
    <mergeCell ref="C7:D7"/>
    <mergeCell ref="T25:T26"/>
    <mergeCell ref="M25:M26"/>
    <mergeCell ref="U25:U26"/>
    <mergeCell ref="V25:V26"/>
    <mergeCell ref="W25:W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S25:S26"/>
    <mergeCell ref="R25:R26"/>
    <mergeCell ref="F46:F47"/>
    <mergeCell ref="G46:G47"/>
    <mergeCell ref="H46:H47"/>
    <mergeCell ref="I46:I47"/>
    <mergeCell ref="J46:J47"/>
    <mergeCell ref="L25:L26"/>
    <mergeCell ref="N25:N26"/>
    <mergeCell ref="P25:P26"/>
    <mergeCell ref="Q25:Q26"/>
    <mergeCell ref="Z25:Z26"/>
    <mergeCell ref="M46:M47"/>
    <mergeCell ref="Z46:Z47"/>
    <mergeCell ref="X46:X47"/>
    <mergeCell ref="Y46:Y47"/>
    <mergeCell ref="AA46:AA47"/>
    <mergeCell ref="C22:AA22"/>
    <mergeCell ref="S46:S47"/>
    <mergeCell ref="T46:T47"/>
    <mergeCell ref="U46:U47"/>
    <mergeCell ref="V46:V47"/>
    <mergeCell ref="W46:W47"/>
    <mergeCell ref="X25:X26"/>
    <mergeCell ref="Y25:Y26"/>
    <mergeCell ref="AA25:AA26"/>
    <mergeCell ref="C46:C47"/>
    <mergeCell ref="D46:D47"/>
    <mergeCell ref="E46:E47"/>
    <mergeCell ref="K46:K47"/>
    <mergeCell ref="L46:L47"/>
    <mergeCell ref="N46:N47"/>
    <mergeCell ref="P46:P47"/>
    <mergeCell ref="Q46:Q47"/>
    <mergeCell ref="R46:R47"/>
  </mergeCells>
  <printOptions horizontalCentered="1"/>
  <pageMargins left="0.70866141732283472" right="1.2204724409448819" top="0.35433070866141736" bottom="0.27559055118110237" header="0.31496062992125984" footer="0.31496062992125984"/>
  <pageSetup paperSize="5" orientation="landscape" horizontalDpi="4294967292" verticalDpi="96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3017C-6F2A-4B19-90EE-BB38B9114F62}">
  <dimension ref="A1:M209"/>
  <sheetViews>
    <sheetView tabSelected="1" topLeftCell="A88" workbookViewId="0">
      <selection activeCell="G95" sqref="G95"/>
    </sheetView>
  </sheetViews>
  <sheetFormatPr defaultRowHeight="14.4" x14ac:dyDescent="0.3"/>
  <cols>
    <col min="1" max="1" width="1.5546875" customWidth="1"/>
    <col min="2" max="2" width="8.6640625" customWidth="1"/>
    <col min="3" max="3" width="12" customWidth="1"/>
    <col min="4" max="8" width="19.33203125" customWidth="1"/>
  </cols>
  <sheetData>
    <row r="1" spans="1:10" ht="17.399999999999999" x14ac:dyDescent="0.3">
      <c r="A1" s="60"/>
      <c r="B1" s="271" t="s">
        <v>292</v>
      </c>
      <c r="C1" s="271"/>
      <c r="D1" s="271"/>
      <c r="E1" s="271"/>
      <c r="F1" s="271"/>
      <c r="G1" s="271"/>
      <c r="H1" s="271"/>
      <c r="I1" s="60"/>
      <c r="J1" s="131"/>
    </row>
    <row r="2" spans="1:10" x14ac:dyDescent="0.3">
      <c r="A2" s="60"/>
      <c r="B2" s="60"/>
      <c r="C2" s="60"/>
      <c r="D2" s="60"/>
      <c r="E2" s="60"/>
      <c r="F2" s="60"/>
      <c r="G2" s="60"/>
      <c r="H2" s="119"/>
      <c r="I2" s="60"/>
      <c r="J2" s="131"/>
    </row>
    <row r="3" spans="1:10" x14ac:dyDescent="0.3">
      <c r="A3" s="60"/>
      <c r="B3" s="139" t="s">
        <v>113</v>
      </c>
      <c r="C3" s="139"/>
      <c r="D3" s="139"/>
      <c r="E3" s="139"/>
      <c r="F3" s="139"/>
      <c r="G3" s="139"/>
      <c r="H3" s="139"/>
      <c r="I3" s="60"/>
      <c r="J3" s="131"/>
    </row>
    <row r="4" spans="1:10" x14ac:dyDescent="0.3">
      <c r="A4" s="60"/>
      <c r="B4" s="139" t="s">
        <v>280</v>
      </c>
      <c r="C4" s="139"/>
      <c r="D4" s="139"/>
      <c r="E4" s="139"/>
      <c r="F4" s="139"/>
      <c r="G4" s="139"/>
      <c r="H4" s="139"/>
      <c r="I4" s="60"/>
      <c r="J4" s="131"/>
    </row>
    <row r="5" spans="1:10" x14ac:dyDescent="0.3">
      <c r="A5" s="60"/>
      <c r="B5" s="139" t="s">
        <v>270</v>
      </c>
      <c r="C5" s="139"/>
      <c r="D5" s="139"/>
      <c r="E5" s="139"/>
      <c r="F5" s="139"/>
      <c r="G5" s="139"/>
      <c r="H5" s="139"/>
      <c r="I5" s="60"/>
      <c r="J5" s="131"/>
    </row>
    <row r="6" spans="1:10" x14ac:dyDescent="0.3">
      <c r="A6" s="60"/>
      <c r="B6" s="60"/>
      <c r="C6" s="111" t="s">
        <v>196</v>
      </c>
      <c r="D6" s="60"/>
      <c r="E6" s="60"/>
      <c r="F6" s="60"/>
      <c r="G6" s="60"/>
      <c r="H6" s="119"/>
      <c r="I6" s="60"/>
      <c r="J6" s="131"/>
    </row>
    <row r="7" spans="1:10" x14ac:dyDescent="0.3">
      <c r="A7" s="60"/>
      <c r="B7" s="65" t="s">
        <v>111</v>
      </c>
      <c r="C7" s="66" t="s">
        <v>112</v>
      </c>
      <c r="D7" s="66" t="s">
        <v>46</v>
      </c>
      <c r="E7" s="66" t="s">
        <v>47</v>
      </c>
      <c r="F7" s="66" t="s">
        <v>48</v>
      </c>
      <c r="G7" s="66" t="s">
        <v>49</v>
      </c>
      <c r="H7" s="117" t="s">
        <v>110</v>
      </c>
      <c r="I7" s="60"/>
      <c r="J7" s="131"/>
    </row>
    <row r="8" spans="1:10" x14ac:dyDescent="0.3">
      <c r="A8" s="60"/>
      <c r="B8" s="65"/>
      <c r="C8" s="66"/>
      <c r="D8" s="66"/>
      <c r="E8" s="66"/>
      <c r="F8" s="66"/>
      <c r="G8" s="66"/>
      <c r="H8" s="117"/>
      <c r="I8" s="60"/>
      <c r="J8" s="131"/>
    </row>
    <row r="9" spans="1:10" x14ac:dyDescent="0.3">
      <c r="A9" s="60"/>
      <c r="B9" s="61">
        <v>1</v>
      </c>
      <c r="C9" s="62" t="s">
        <v>271</v>
      </c>
      <c r="D9" s="136" t="s">
        <v>118</v>
      </c>
      <c r="E9" s="111" t="s">
        <v>115</v>
      </c>
      <c r="F9" s="111" t="s">
        <v>115</v>
      </c>
      <c r="G9" s="111" t="s">
        <v>115</v>
      </c>
      <c r="H9" s="111" t="s">
        <v>115</v>
      </c>
      <c r="I9" s="60"/>
      <c r="J9" s="131"/>
    </row>
    <row r="10" spans="1:10" x14ac:dyDescent="0.3">
      <c r="A10" s="60"/>
      <c r="B10" s="61">
        <v>2</v>
      </c>
      <c r="C10" s="62" t="s">
        <v>272</v>
      </c>
      <c r="D10" s="111" t="s">
        <v>58</v>
      </c>
      <c r="E10" s="111" t="s">
        <v>193</v>
      </c>
      <c r="F10" s="111" t="s">
        <v>117</v>
      </c>
      <c r="G10" s="111" t="s">
        <v>194</v>
      </c>
      <c r="H10" s="111" t="s">
        <v>58</v>
      </c>
      <c r="I10" s="60"/>
      <c r="J10" s="131"/>
    </row>
    <row r="11" spans="1:10" x14ac:dyDescent="0.3">
      <c r="A11" s="60"/>
      <c r="B11" s="61">
        <v>3</v>
      </c>
      <c r="C11" s="62" t="s">
        <v>273</v>
      </c>
      <c r="D11" s="111" t="s">
        <v>58</v>
      </c>
      <c r="E11" s="111" t="s">
        <v>193</v>
      </c>
      <c r="F11" s="111" t="s">
        <v>117</v>
      </c>
      <c r="G11" s="111" t="s">
        <v>194</v>
      </c>
      <c r="H11" s="111" t="s">
        <v>58</v>
      </c>
      <c r="I11" s="60"/>
      <c r="J11" s="131"/>
    </row>
    <row r="12" spans="1:10" x14ac:dyDescent="0.3">
      <c r="A12" s="60"/>
      <c r="B12" s="61">
        <v>4</v>
      </c>
      <c r="C12" s="62" t="s">
        <v>274</v>
      </c>
      <c r="D12" s="111" t="s">
        <v>58</v>
      </c>
      <c r="E12" s="111" t="s">
        <v>195</v>
      </c>
      <c r="F12" s="111" t="s">
        <v>117</v>
      </c>
      <c r="G12" s="111" t="s">
        <v>194</v>
      </c>
      <c r="H12" s="118" t="s">
        <v>59</v>
      </c>
      <c r="I12" s="60"/>
      <c r="J12" s="131"/>
    </row>
    <row r="13" spans="1:10" x14ac:dyDescent="0.3">
      <c r="A13" s="60"/>
      <c r="B13" s="61">
        <v>5</v>
      </c>
      <c r="C13" s="62" t="s">
        <v>275</v>
      </c>
      <c r="D13" s="111" t="s">
        <v>195</v>
      </c>
      <c r="E13" s="111" t="s">
        <v>195</v>
      </c>
      <c r="F13" s="111" t="s">
        <v>117</v>
      </c>
      <c r="G13" s="111" t="s">
        <v>194</v>
      </c>
      <c r="H13" s="118" t="s">
        <v>59</v>
      </c>
      <c r="I13" s="60"/>
      <c r="J13" s="131"/>
    </row>
    <row r="14" spans="1:10" x14ac:dyDescent="0.3">
      <c r="A14" s="60"/>
      <c r="B14" s="61">
        <v>6</v>
      </c>
      <c r="C14" s="63" t="s">
        <v>276</v>
      </c>
      <c r="D14" s="66" t="s">
        <v>114</v>
      </c>
      <c r="E14" s="66" t="s">
        <v>114</v>
      </c>
      <c r="F14" s="64" t="s">
        <v>114</v>
      </c>
      <c r="G14" s="64" t="s">
        <v>114</v>
      </c>
      <c r="H14" s="117" t="s">
        <v>114</v>
      </c>
      <c r="I14" s="60"/>
      <c r="J14" s="131"/>
    </row>
    <row r="15" spans="1:10" x14ac:dyDescent="0.3">
      <c r="A15" s="60"/>
      <c r="B15" s="61">
        <v>7</v>
      </c>
      <c r="C15" s="62" t="s">
        <v>210</v>
      </c>
      <c r="D15" s="111" t="s">
        <v>195</v>
      </c>
      <c r="E15" s="118" t="s">
        <v>59</v>
      </c>
      <c r="F15" s="111" t="s">
        <v>58</v>
      </c>
      <c r="G15" s="111" t="s">
        <v>193</v>
      </c>
      <c r="H15" s="128"/>
      <c r="I15" s="60"/>
      <c r="J15" s="131"/>
    </row>
    <row r="16" spans="1:10" x14ac:dyDescent="0.3">
      <c r="A16" s="60"/>
      <c r="B16" s="61">
        <v>8</v>
      </c>
      <c r="C16" s="62" t="s">
        <v>211</v>
      </c>
      <c r="D16" s="111" t="s">
        <v>196</v>
      </c>
      <c r="E16" s="118" t="s">
        <v>59</v>
      </c>
      <c r="F16" s="111" t="s">
        <v>58</v>
      </c>
      <c r="G16" s="111" t="s">
        <v>193</v>
      </c>
      <c r="H16" s="128"/>
      <c r="I16" s="60"/>
      <c r="J16" s="131"/>
    </row>
    <row r="17" spans="1:10" x14ac:dyDescent="0.3">
      <c r="A17" s="60"/>
      <c r="B17" s="61">
        <v>9</v>
      </c>
      <c r="C17" s="62" t="s">
        <v>212</v>
      </c>
      <c r="D17" s="111" t="s">
        <v>196</v>
      </c>
      <c r="E17" s="118" t="s">
        <v>59</v>
      </c>
      <c r="F17" s="111" t="s">
        <v>58</v>
      </c>
      <c r="G17" s="111" t="s">
        <v>193</v>
      </c>
      <c r="H17" s="128"/>
      <c r="I17" s="60"/>
      <c r="J17" s="131"/>
    </row>
    <row r="18" spans="1:10" x14ac:dyDescent="0.3">
      <c r="A18" s="60"/>
      <c r="B18" s="60"/>
      <c r="C18" s="60"/>
      <c r="D18" s="60"/>
      <c r="E18" s="60"/>
      <c r="F18" s="60"/>
      <c r="G18" s="60"/>
      <c r="H18" s="119"/>
      <c r="I18" s="60"/>
      <c r="J18" s="131"/>
    </row>
    <row r="19" spans="1:10" x14ac:dyDescent="0.3">
      <c r="A19" s="60"/>
      <c r="B19" s="60"/>
      <c r="C19" s="60"/>
      <c r="D19" s="60"/>
      <c r="E19" s="60"/>
      <c r="F19" s="60"/>
      <c r="G19" s="60"/>
      <c r="H19" s="119"/>
      <c r="I19" s="60"/>
      <c r="J19" s="131"/>
    </row>
    <row r="20" spans="1:10" x14ac:dyDescent="0.3">
      <c r="A20" s="60"/>
      <c r="B20" s="139" t="s">
        <v>113</v>
      </c>
      <c r="C20" s="139"/>
      <c r="D20" s="139"/>
      <c r="E20" s="139"/>
      <c r="F20" s="139"/>
      <c r="G20" s="139"/>
      <c r="H20" s="139"/>
      <c r="I20" s="60"/>
      <c r="J20" s="131"/>
    </row>
    <row r="21" spans="1:10" x14ac:dyDescent="0.3">
      <c r="A21" s="60"/>
      <c r="B21" s="139" t="s">
        <v>280</v>
      </c>
      <c r="C21" s="139"/>
      <c r="D21" s="139"/>
      <c r="E21" s="139"/>
      <c r="F21" s="139"/>
      <c r="G21" s="139"/>
      <c r="H21" s="139"/>
      <c r="I21" s="60"/>
      <c r="J21" s="131"/>
    </row>
    <row r="22" spans="1:10" x14ac:dyDescent="0.3">
      <c r="A22" s="60"/>
      <c r="B22" s="139" t="s">
        <v>279</v>
      </c>
      <c r="C22" s="139"/>
      <c r="D22" s="139"/>
      <c r="E22" s="139"/>
      <c r="F22" s="139"/>
      <c r="G22" s="139"/>
      <c r="H22" s="139"/>
      <c r="I22" s="60"/>
      <c r="J22" s="131"/>
    </row>
    <row r="23" spans="1:10" x14ac:dyDescent="0.3">
      <c r="A23" s="60"/>
      <c r="B23" s="60"/>
      <c r="C23" s="60"/>
      <c r="D23" s="60"/>
      <c r="E23" s="60"/>
      <c r="F23" s="60"/>
      <c r="G23" s="60"/>
      <c r="H23" s="119"/>
      <c r="I23" s="60"/>
      <c r="J23" s="131"/>
    </row>
    <row r="24" spans="1:10" x14ac:dyDescent="0.3">
      <c r="A24" s="60"/>
      <c r="B24" s="65" t="s">
        <v>111</v>
      </c>
      <c r="C24" s="66" t="s">
        <v>112</v>
      </c>
      <c r="D24" s="66" t="s">
        <v>46</v>
      </c>
      <c r="E24" s="66" t="s">
        <v>47</v>
      </c>
      <c r="F24" s="66" t="s">
        <v>48</v>
      </c>
      <c r="G24" s="66" t="s">
        <v>49</v>
      </c>
      <c r="H24" s="117" t="s">
        <v>110</v>
      </c>
      <c r="I24" s="60"/>
      <c r="J24" s="131"/>
    </row>
    <row r="25" spans="1:10" x14ac:dyDescent="0.3">
      <c r="A25" s="60"/>
      <c r="B25" s="65"/>
      <c r="C25" s="66"/>
      <c r="D25" s="66"/>
      <c r="E25" s="66"/>
      <c r="F25" s="66"/>
      <c r="G25" s="66"/>
      <c r="H25" s="117"/>
      <c r="I25" s="60"/>
      <c r="J25" s="131"/>
    </row>
    <row r="26" spans="1:10" ht="14.4" customHeight="1" x14ac:dyDescent="0.3">
      <c r="A26" s="60"/>
      <c r="B26" s="61">
        <v>1</v>
      </c>
      <c r="C26" s="62" t="s">
        <v>271</v>
      </c>
      <c r="D26" s="136" t="s">
        <v>118</v>
      </c>
      <c r="E26" s="111" t="s">
        <v>115</v>
      </c>
      <c r="F26" s="111" t="s">
        <v>115</v>
      </c>
      <c r="G26" s="111" t="s">
        <v>115</v>
      </c>
      <c r="H26" s="111" t="s">
        <v>115</v>
      </c>
      <c r="I26" s="60"/>
      <c r="J26" s="131"/>
    </row>
    <row r="27" spans="1:10" ht="14.4" customHeight="1" x14ac:dyDescent="0.3">
      <c r="A27" s="60"/>
      <c r="B27" s="61">
        <v>2</v>
      </c>
      <c r="C27" s="62" t="s">
        <v>272</v>
      </c>
      <c r="D27" s="111" t="s">
        <v>58</v>
      </c>
      <c r="E27" s="111" t="s">
        <v>193</v>
      </c>
      <c r="F27" s="111" t="s">
        <v>194</v>
      </c>
      <c r="G27" s="111" t="s">
        <v>117</v>
      </c>
      <c r="H27" s="111" t="s">
        <v>58</v>
      </c>
      <c r="I27" s="60"/>
      <c r="J27" s="131"/>
    </row>
    <row r="28" spans="1:10" x14ac:dyDescent="0.3">
      <c r="A28" s="60"/>
      <c r="B28" s="61">
        <v>3</v>
      </c>
      <c r="C28" s="62" t="s">
        <v>273</v>
      </c>
      <c r="D28" s="111" t="s">
        <v>58</v>
      </c>
      <c r="E28" s="111" t="s">
        <v>193</v>
      </c>
      <c r="F28" s="111" t="s">
        <v>194</v>
      </c>
      <c r="G28" s="111" t="s">
        <v>117</v>
      </c>
      <c r="H28" s="111" t="s">
        <v>58</v>
      </c>
      <c r="I28" s="60"/>
      <c r="J28" s="131"/>
    </row>
    <row r="29" spans="1:10" x14ac:dyDescent="0.3">
      <c r="A29" s="60"/>
      <c r="B29" s="61">
        <v>4</v>
      </c>
      <c r="C29" s="62" t="s">
        <v>274</v>
      </c>
      <c r="D29" s="111" t="s">
        <v>58</v>
      </c>
      <c r="E29" s="111" t="s">
        <v>195</v>
      </c>
      <c r="F29" s="111" t="s">
        <v>194</v>
      </c>
      <c r="G29" s="111" t="s">
        <v>117</v>
      </c>
      <c r="H29" s="118" t="s">
        <v>59</v>
      </c>
      <c r="I29" s="60"/>
      <c r="J29" s="131"/>
    </row>
    <row r="30" spans="1:10" x14ac:dyDescent="0.3">
      <c r="A30" s="60"/>
      <c r="B30" s="61">
        <v>5</v>
      </c>
      <c r="C30" s="62" t="s">
        <v>275</v>
      </c>
      <c r="D30" s="111" t="s">
        <v>195</v>
      </c>
      <c r="E30" s="111" t="s">
        <v>195</v>
      </c>
      <c r="F30" s="111" t="s">
        <v>194</v>
      </c>
      <c r="G30" s="111" t="s">
        <v>117</v>
      </c>
      <c r="H30" s="118" t="s">
        <v>59</v>
      </c>
      <c r="I30" s="60"/>
      <c r="J30" s="131"/>
    </row>
    <row r="31" spans="1:10" x14ac:dyDescent="0.3">
      <c r="A31" s="60"/>
      <c r="B31" s="61">
        <v>6</v>
      </c>
      <c r="C31" s="63" t="s">
        <v>276</v>
      </c>
      <c r="D31" s="66" t="s">
        <v>114</v>
      </c>
      <c r="E31" s="66" t="s">
        <v>114</v>
      </c>
      <c r="F31" s="64" t="s">
        <v>114</v>
      </c>
      <c r="G31" s="64" t="s">
        <v>114</v>
      </c>
      <c r="H31" s="117" t="s">
        <v>114</v>
      </c>
      <c r="I31" s="60"/>
      <c r="J31" s="131"/>
    </row>
    <row r="32" spans="1:10" x14ac:dyDescent="0.3">
      <c r="A32" s="60"/>
      <c r="B32" s="61">
        <v>7</v>
      </c>
      <c r="C32" s="62" t="s">
        <v>210</v>
      </c>
      <c r="D32" s="111" t="s">
        <v>195</v>
      </c>
      <c r="E32" s="118" t="s">
        <v>59</v>
      </c>
      <c r="F32" s="111" t="s">
        <v>58</v>
      </c>
      <c r="G32" s="111" t="s">
        <v>193</v>
      </c>
      <c r="H32" s="128"/>
      <c r="I32" s="60"/>
      <c r="J32" s="131"/>
    </row>
    <row r="33" spans="1:10" x14ac:dyDescent="0.3">
      <c r="A33" s="60"/>
      <c r="B33" s="61">
        <v>8</v>
      </c>
      <c r="C33" s="62" t="s">
        <v>211</v>
      </c>
      <c r="D33" s="111" t="s">
        <v>196</v>
      </c>
      <c r="E33" s="118" t="s">
        <v>59</v>
      </c>
      <c r="F33" s="111" t="s">
        <v>58</v>
      </c>
      <c r="G33" s="111" t="s">
        <v>193</v>
      </c>
      <c r="H33" s="128"/>
      <c r="I33" s="60"/>
      <c r="J33" s="131"/>
    </row>
    <row r="34" spans="1:10" x14ac:dyDescent="0.3">
      <c r="A34" s="60"/>
      <c r="B34" s="61">
        <v>9</v>
      </c>
      <c r="C34" s="62" t="s">
        <v>212</v>
      </c>
      <c r="D34" s="111" t="s">
        <v>196</v>
      </c>
      <c r="E34" s="118" t="s">
        <v>59</v>
      </c>
      <c r="F34" s="111" t="s">
        <v>58</v>
      </c>
      <c r="G34" s="111" t="s">
        <v>193</v>
      </c>
      <c r="H34" s="128"/>
      <c r="I34" s="60"/>
      <c r="J34" s="131"/>
    </row>
    <row r="35" spans="1:10" x14ac:dyDescent="0.3">
      <c r="A35" s="60"/>
      <c r="B35" s="60"/>
      <c r="C35" s="60"/>
      <c r="D35" s="60"/>
      <c r="E35" s="60"/>
      <c r="F35" s="60"/>
      <c r="G35" s="60"/>
      <c r="H35" s="119"/>
      <c r="I35" s="60"/>
      <c r="J35" s="131"/>
    </row>
    <row r="36" spans="1:10" x14ac:dyDescent="0.3">
      <c r="A36" s="60"/>
      <c r="B36" s="60"/>
      <c r="C36" s="60"/>
      <c r="D36" s="60"/>
      <c r="E36" s="60"/>
      <c r="F36" s="60"/>
      <c r="G36" s="60"/>
      <c r="H36" s="119"/>
      <c r="I36" s="60"/>
      <c r="J36" s="131"/>
    </row>
    <row r="37" spans="1:10" x14ac:dyDescent="0.3">
      <c r="A37" s="60"/>
      <c r="B37" s="60"/>
      <c r="C37" s="60"/>
      <c r="D37" s="60"/>
      <c r="E37" s="60"/>
      <c r="F37" s="60"/>
      <c r="G37" s="60"/>
      <c r="H37" s="119"/>
      <c r="I37" s="60"/>
      <c r="J37" s="131"/>
    </row>
    <row r="38" spans="1:10" x14ac:dyDescent="0.3">
      <c r="A38" s="60"/>
      <c r="B38" s="139" t="s">
        <v>113</v>
      </c>
      <c r="C38" s="139"/>
      <c r="D38" s="139"/>
      <c r="E38" s="139"/>
      <c r="F38" s="139"/>
      <c r="G38" s="139"/>
      <c r="H38" s="139"/>
      <c r="I38" s="60"/>
      <c r="J38" s="131"/>
    </row>
    <row r="39" spans="1:10" x14ac:dyDescent="0.3">
      <c r="A39" s="60"/>
      <c r="B39" s="139" t="s">
        <v>280</v>
      </c>
      <c r="C39" s="139"/>
      <c r="D39" s="139"/>
      <c r="E39" s="139"/>
      <c r="F39" s="139"/>
      <c r="G39" s="139"/>
      <c r="H39" s="139"/>
      <c r="I39" s="60"/>
      <c r="J39" s="131"/>
    </row>
    <row r="40" spans="1:10" x14ac:dyDescent="0.3">
      <c r="A40" s="60"/>
      <c r="B40" s="139" t="s">
        <v>76</v>
      </c>
      <c r="C40" s="139"/>
      <c r="D40" s="139"/>
      <c r="E40" s="139"/>
      <c r="F40" s="139"/>
      <c r="G40" s="139"/>
      <c r="H40" s="139"/>
      <c r="I40" s="60"/>
      <c r="J40" s="131"/>
    </row>
    <row r="41" spans="1:10" x14ac:dyDescent="0.3">
      <c r="A41" s="60"/>
      <c r="B41" s="60"/>
      <c r="C41" s="60"/>
      <c r="D41" s="60"/>
      <c r="E41" s="60"/>
      <c r="F41" s="60"/>
      <c r="G41" s="60"/>
      <c r="H41" s="119"/>
      <c r="I41" s="60"/>
      <c r="J41" s="131"/>
    </row>
    <row r="42" spans="1:10" x14ac:dyDescent="0.3">
      <c r="A42" s="60"/>
      <c r="B42" s="65" t="s">
        <v>111</v>
      </c>
      <c r="C42" s="66" t="s">
        <v>112</v>
      </c>
      <c r="D42" s="66" t="s">
        <v>46</v>
      </c>
      <c r="E42" s="66" t="s">
        <v>47</v>
      </c>
      <c r="F42" s="66" t="s">
        <v>48</v>
      </c>
      <c r="G42" s="66" t="s">
        <v>49</v>
      </c>
      <c r="H42" s="117" t="s">
        <v>110</v>
      </c>
      <c r="I42" s="60"/>
      <c r="J42" s="131"/>
    </row>
    <row r="43" spans="1:10" x14ac:dyDescent="0.3">
      <c r="A43" s="60"/>
      <c r="B43" s="65"/>
      <c r="C43" s="66"/>
      <c r="D43" s="66"/>
      <c r="E43" s="66"/>
      <c r="F43" s="66"/>
      <c r="G43" s="66"/>
      <c r="H43" s="117"/>
      <c r="I43" s="60"/>
      <c r="J43" s="131"/>
    </row>
    <row r="44" spans="1:10" ht="14.4" customHeight="1" x14ac:dyDescent="0.3">
      <c r="A44" s="60"/>
      <c r="B44" s="61">
        <v>1</v>
      </c>
      <c r="C44" s="62" t="s">
        <v>271</v>
      </c>
      <c r="D44" s="136" t="s">
        <v>118</v>
      </c>
      <c r="E44" s="111" t="s">
        <v>115</v>
      </c>
      <c r="F44" s="111" t="s">
        <v>115</v>
      </c>
      <c r="G44" s="111" t="s">
        <v>115</v>
      </c>
      <c r="H44" s="111" t="s">
        <v>115</v>
      </c>
      <c r="I44" s="60"/>
      <c r="J44" s="131"/>
    </row>
    <row r="45" spans="1:10" ht="14.4" customHeight="1" x14ac:dyDescent="0.3">
      <c r="A45" s="60"/>
      <c r="B45" s="61">
        <v>2</v>
      </c>
      <c r="C45" s="62" t="s">
        <v>272</v>
      </c>
      <c r="D45" s="111" t="s">
        <v>58</v>
      </c>
      <c r="E45" s="111" t="s">
        <v>194</v>
      </c>
      <c r="F45" s="111" t="s">
        <v>196</v>
      </c>
      <c r="G45" s="111" t="s">
        <v>193</v>
      </c>
      <c r="H45" s="111" t="s">
        <v>117</v>
      </c>
      <c r="I45" s="60"/>
      <c r="J45" s="131"/>
    </row>
    <row r="46" spans="1:10" x14ac:dyDescent="0.3">
      <c r="A46" s="60"/>
      <c r="B46" s="61">
        <v>3</v>
      </c>
      <c r="C46" s="62" t="s">
        <v>273</v>
      </c>
      <c r="D46" s="111" t="s">
        <v>58</v>
      </c>
      <c r="E46" s="111" t="s">
        <v>194</v>
      </c>
      <c r="F46" s="111" t="s">
        <v>196</v>
      </c>
      <c r="G46" s="111" t="s">
        <v>193</v>
      </c>
      <c r="H46" s="111" t="s">
        <v>117</v>
      </c>
      <c r="I46" s="60"/>
      <c r="J46" s="131"/>
    </row>
    <row r="47" spans="1:10" x14ac:dyDescent="0.3">
      <c r="A47" s="60"/>
      <c r="B47" s="61">
        <v>4</v>
      </c>
      <c r="C47" s="62" t="s">
        <v>274</v>
      </c>
      <c r="D47" s="111" t="s">
        <v>58</v>
      </c>
      <c r="E47" s="111" t="s">
        <v>194</v>
      </c>
      <c r="F47" s="111" t="s">
        <v>58</v>
      </c>
      <c r="G47" s="118" t="s">
        <v>59</v>
      </c>
      <c r="H47" s="111" t="s">
        <v>117</v>
      </c>
      <c r="I47" s="60"/>
      <c r="J47" s="131"/>
    </row>
    <row r="48" spans="1:10" x14ac:dyDescent="0.3">
      <c r="A48" s="60"/>
      <c r="B48" s="61">
        <v>5</v>
      </c>
      <c r="C48" s="62" t="s">
        <v>275</v>
      </c>
      <c r="D48" s="111" t="s">
        <v>193</v>
      </c>
      <c r="E48" s="111" t="s">
        <v>194</v>
      </c>
      <c r="F48" s="111" t="s">
        <v>58</v>
      </c>
      <c r="G48" s="118" t="s">
        <v>59</v>
      </c>
      <c r="H48" s="111" t="s">
        <v>117</v>
      </c>
      <c r="I48" s="60"/>
      <c r="J48" s="131"/>
    </row>
    <row r="49" spans="1:10" x14ac:dyDescent="0.3">
      <c r="A49" s="60"/>
      <c r="B49" s="61">
        <v>6</v>
      </c>
      <c r="C49" s="63" t="s">
        <v>276</v>
      </c>
      <c r="D49" s="66" t="s">
        <v>114</v>
      </c>
      <c r="E49" s="66" t="s">
        <v>114</v>
      </c>
      <c r="F49" s="64" t="s">
        <v>114</v>
      </c>
      <c r="G49" s="64" t="s">
        <v>114</v>
      </c>
      <c r="H49" s="117" t="s">
        <v>114</v>
      </c>
      <c r="I49" s="60"/>
      <c r="J49" s="131"/>
    </row>
    <row r="50" spans="1:10" x14ac:dyDescent="0.3">
      <c r="A50" s="60"/>
      <c r="B50" s="61">
        <v>7</v>
      </c>
      <c r="C50" s="62" t="s">
        <v>210</v>
      </c>
      <c r="D50" s="111" t="s">
        <v>193</v>
      </c>
      <c r="E50" s="111" t="s">
        <v>193</v>
      </c>
      <c r="F50" s="111" t="s">
        <v>58</v>
      </c>
      <c r="G50" s="111" t="s">
        <v>58</v>
      </c>
      <c r="H50" s="111" t="s">
        <v>195</v>
      </c>
      <c r="I50" s="60"/>
      <c r="J50" s="131"/>
    </row>
    <row r="51" spans="1:10" x14ac:dyDescent="0.3">
      <c r="A51" s="60"/>
      <c r="B51" s="61">
        <v>8</v>
      </c>
      <c r="C51" s="62" t="s">
        <v>211</v>
      </c>
      <c r="D51" s="118" t="s">
        <v>59</v>
      </c>
      <c r="E51" s="111" t="s">
        <v>193</v>
      </c>
      <c r="F51" s="111" t="s">
        <v>195</v>
      </c>
      <c r="G51" s="111" t="s">
        <v>58</v>
      </c>
      <c r="H51" s="111" t="s">
        <v>195</v>
      </c>
      <c r="I51" s="60"/>
      <c r="J51" s="131"/>
    </row>
    <row r="52" spans="1:10" x14ac:dyDescent="0.3">
      <c r="A52" s="60"/>
      <c r="B52" s="61">
        <v>9</v>
      </c>
      <c r="C52" s="62" t="s">
        <v>212</v>
      </c>
      <c r="D52" s="118" t="s">
        <v>59</v>
      </c>
      <c r="E52" s="111" t="s">
        <v>193</v>
      </c>
      <c r="F52" s="111" t="s">
        <v>195</v>
      </c>
      <c r="G52" s="111" t="s">
        <v>58</v>
      </c>
      <c r="H52" s="128"/>
      <c r="I52" s="60"/>
      <c r="J52" s="131"/>
    </row>
    <row r="53" spans="1:10" x14ac:dyDescent="0.3">
      <c r="A53" s="60"/>
      <c r="B53" s="60"/>
      <c r="C53" s="60"/>
      <c r="D53" s="60"/>
      <c r="E53" s="60"/>
      <c r="F53" s="60"/>
      <c r="G53" s="60"/>
      <c r="H53" s="119"/>
      <c r="I53" s="60"/>
      <c r="J53" s="131"/>
    </row>
    <row r="54" spans="1:10" x14ac:dyDescent="0.3">
      <c r="A54" s="60"/>
      <c r="B54" s="60"/>
      <c r="C54" s="60"/>
      <c r="D54" s="60"/>
      <c r="E54" s="60"/>
      <c r="F54" s="60"/>
      <c r="G54" s="60"/>
      <c r="H54" s="119"/>
      <c r="I54" s="60"/>
      <c r="J54" s="131"/>
    </row>
    <row r="55" spans="1:10" x14ac:dyDescent="0.3">
      <c r="A55" s="60"/>
      <c r="B55" s="60"/>
      <c r="C55" s="60"/>
      <c r="D55" s="60"/>
      <c r="E55" s="60"/>
      <c r="F55" s="60"/>
      <c r="G55" s="60"/>
      <c r="H55" s="119"/>
      <c r="I55" s="60"/>
      <c r="J55" s="131"/>
    </row>
    <row r="56" spans="1:10" x14ac:dyDescent="0.3">
      <c r="A56" s="60"/>
      <c r="B56" s="139" t="s">
        <v>113</v>
      </c>
      <c r="C56" s="139"/>
      <c r="D56" s="139"/>
      <c r="E56" s="139"/>
      <c r="F56" s="139"/>
      <c r="G56" s="139"/>
      <c r="H56" s="139"/>
      <c r="I56" s="60"/>
      <c r="J56" s="131"/>
    </row>
    <row r="57" spans="1:10" x14ac:dyDescent="0.3">
      <c r="A57" s="60"/>
      <c r="B57" s="139" t="s">
        <v>280</v>
      </c>
      <c r="C57" s="139"/>
      <c r="D57" s="139"/>
      <c r="E57" s="139"/>
      <c r="F57" s="139"/>
      <c r="G57" s="139"/>
      <c r="H57" s="139"/>
      <c r="I57" s="60"/>
      <c r="J57" s="131"/>
    </row>
    <row r="58" spans="1:10" x14ac:dyDescent="0.3">
      <c r="A58" s="60"/>
      <c r="B58" s="139" t="s">
        <v>281</v>
      </c>
      <c r="C58" s="139"/>
      <c r="D58" s="139"/>
      <c r="E58" s="139"/>
      <c r="F58" s="139"/>
      <c r="G58" s="139"/>
      <c r="H58" s="139"/>
      <c r="I58" s="60"/>
      <c r="J58" s="131"/>
    </row>
    <row r="59" spans="1:10" x14ac:dyDescent="0.3">
      <c r="A59" s="60"/>
      <c r="B59" s="60"/>
      <c r="C59" s="60"/>
      <c r="D59" s="60"/>
      <c r="E59" s="60"/>
      <c r="F59" s="60"/>
      <c r="G59" s="60"/>
      <c r="H59" s="119"/>
      <c r="I59" s="60"/>
      <c r="J59" s="131"/>
    </row>
    <row r="60" spans="1:10" x14ac:dyDescent="0.3">
      <c r="A60" s="60"/>
      <c r="B60" s="65" t="s">
        <v>111</v>
      </c>
      <c r="C60" s="66" t="s">
        <v>112</v>
      </c>
      <c r="D60" s="66" t="s">
        <v>46</v>
      </c>
      <c r="E60" s="66" t="s">
        <v>47</v>
      </c>
      <c r="F60" s="66" t="s">
        <v>48</v>
      </c>
      <c r="G60" s="66" t="s">
        <v>49</v>
      </c>
      <c r="H60" s="117" t="s">
        <v>110</v>
      </c>
      <c r="I60" s="60"/>
      <c r="J60" s="131"/>
    </row>
    <row r="61" spans="1:10" x14ac:dyDescent="0.3">
      <c r="A61" s="60"/>
      <c r="B61" s="65"/>
      <c r="C61" s="66"/>
      <c r="D61" s="66"/>
      <c r="E61" s="66"/>
      <c r="F61" s="66"/>
      <c r="G61" s="66"/>
      <c r="H61" s="117"/>
      <c r="I61" s="60"/>
      <c r="J61" s="131"/>
    </row>
    <row r="62" spans="1:10" ht="14.4" customHeight="1" x14ac:dyDescent="0.3">
      <c r="A62" s="60"/>
      <c r="B62" s="61">
        <v>1</v>
      </c>
      <c r="C62" s="62" t="s">
        <v>271</v>
      </c>
      <c r="D62" s="136" t="s">
        <v>118</v>
      </c>
      <c r="E62" s="111" t="s">
        <v>115</v>
      </c>
      <c r="F62" s="111" t="s">
        <v>115</v>
      </c>
      <c r="G62" s="111" t="s">
        <v>115</v>
      </c>
      <c r="H62" s="111" t="s">
        <v>115</v>
      </c>
      <c r="I62" s="60"/>
      <c r="J62" s="131"/>
    </row>
    <row r="63" spans="1:10" ht="14.4" customHeight="1" x14ac:dyDescent="0.3">
      <c r="A63" s="60"/>
      <c r="B63" s="61">
        <v>2</v>
      </c>
      <c r="C63" s="62" t="s">
        <v>272</v>
      </c>
      <c r="D63" s="111" t="s">
        <v>193</v>
      </c>
      <c r="E63" s="111" t="s">
        <v>117</v>
      </c>
      <c r="F63" s="111" t="s">
        <v>58</v>
      </c>
      <c r="G63" s="118" t="s">
        <v>59</v>
      </c>
      <c r="H63" s="111" t="s">
        <v>194</v>
      </c>
      <c r="I63" s="60"/>
      <c r="J63" s="131"/>
    </row>
    <row r="64" spans="1:10" x14ac:dyDescent="0.3">
      <c r="A64" s="60"/>
      <c r="B64" s="61">
        <v>3</v>
      </c>
      <c r="C64" s="62" t="s">
        <v>273</v>
      </c>
      <c r="D64" s="111" t="s">
        <v>193</v>
      </c>
      <c r="E64" s="111" t="s">
        <v>117</v>
      </c>
      <c r="F64" s="111" t="s">
        <v>58</v>
      </c>
      <c r="G64" s="118" t="s">
        <v>59</v>
      </c>
      <c r="H64" s="111" t="s">
        <v>194</v>
      </c>
      <c r="I64" s="60"/>
      <c r="J64" s="131"/>
    </row>
    <row r="65" spans="1:13" x14ac:dyDescent="0.3">
      <c r="A65" s="60"/>
      <c r="B65" s="61">
        <v>4</v>
      </c>
      <c r="C65" s="62" t="s">
        <v>274</v>
      </c>
      <c r="D65" s="111" t="s">
        <v>64</v>
      </c>
      <c r="E65" s="111" t="s">
        <v>117</v>
      </c>
      <c r="F65" s="111" t="s">
        <v>284</v>
      </c>
      <c r="G65" s="111" t="s">
        <v>284</v>
      </c>
      <c r="H65" s="111" t="s">
        <v>194</v>
      </c>
      <c r="I65" s="60"/>
      <c r="J65" s="131"/>
    </row>
    <row r="66" spans="1:13" x14ac:dyDescent="0.3">
      <c r="A66" s="60"/>
      <c r="B66" s="61">
        <v>5</v>
      </c>
      <c r="C66" s="62" t="s">
        <v>275</v>
      </c>
      <c r="D66" s="111" t="s">
        <v>64</v>
      </c>
      <c r="E66" s="111" t="s">
        <v>117</v>
      </c>
      <c r="F66" s="111" t="s">
        <v>284</v>
      </c>
      <c r="G66" s="111" t="s">
        <v>284</v>
      </c>
      <c r="H66" s="111" t="s">
        <v>194</v>
      </c>
      <c r="I66" s="60"/>
      <c r="J66" s="131"/>
    </row>
    <row r="67" spans="1:13" x14ac:dyDescent="0.3">
      <c r="A67" s="60"/>
      <c r="B67" s="61">
        <v>6</v>
      </c>
      <c r="C67" s="63" t="s">
        <v>276</v>
      </c>
      <c r="D67" s="66" t="s">
        <v>114</v>
      </c>
      <c r="E67" s="66" t="s">
        <v>114</v>
      </c>
      <c r="F67" s="64" t="s">
        <v>114</v>
      </c>
      <c r="G67" s="64" t="s">
        <v>114</v>
      </c>
      <c r="H67" s="117" t="s">
        <v>114</v>
      </c>
      <c r="I67" s="60"/>
      <c r="J67" s="131"/>
    </row>
    <row r="68" spans="1:13" x14ac:dyDescent="0.3">
      <c r="A68" s="60"/>
      <c r="B68" s="61">
        <v>7</v>
      </c>
      <c r="C68" s="62" t="s">
        <v>210</v>
      </c>
      <c r="D68" s="111" t="s">
        <v>58</v>
      </c>
      <c r="E68" s="111" t="s">
        <v>193</v>
      </c>
      <c r="F68" s="118" t="s">
        <v>59</v>
      </c>
      <c r="G68" s="111" t="s">
        <v>196</v>
      </c>
      <c r="H68" s="111" t="s">
        <v>195</v>
      </c>
      <c r="I68" s="60"/>
      <c r="J68" s="131"/>
      <c r="M68" s="118"/>
    </row>
    <row r="69" spans="1:13" x14ac:dyDescent="0.3">
      <c r="A69" s="60"/>
      <c r="B69" s="61">
        <v>8</v>
      </c>
      <c r="C69" s="62" t="s">
        <v>211</v>
      </c>
      <c r="D69" s="111" t="s">
        <v>58</v>
      </c>
      <c r="E69" s="111" t="s">
        <v>193</v>
      </c>
      <c r="F69" s="118" t="s">
        <v>59</v>
      </c>
      <c r="G69" s="111" t="s">
        <v>196</v>
      </c>
      <c r="H69" s="111" t="s">
        <v>195</v>
      </c>
      <c r="I69" s="60"/>
      <c r="J69" s="131"/>
      <c r="M69" s="118"/>
    </row>
    <row r="70" spans="1:13" x14ac:dyDescent="0.3">
      <c r="A70" s="60"/>
      <c r="B70" s="61">
        <v>9</v>
      </c>
      <c r="C70" s="62" t="s">
        <v>212</v>
      </c>
      <c r="D70" s="111" t="s">
        <v>58</v>
      </c>
      <c r="E70" s="111" t="s">
        <v>193</v>
      </c>
      <c r="F70" s="111" t="s">
        <v>58</v>
      </c>
      <c r="G70" s="111" t="s">
        <v>195</v>
      </c>
      <c r="H70" s="128"/>
      <c r="I70" s="60"/>
      <c r="J70" s="131"/>
      <c r="M70" s="111"/>
    </row>
    <row r="71" spans="1:13" x14ac:dyDescent="0.3">
      <c r="A71" s="60"/>
      <c r="B71" s="61">
        <v>10</v>
      </c>
      <c r="C71" s="62" t="s">
        <v>277</v>
      </c>
      <c r="D71" s="66" t="s">
        <v>114</v>
      </c>
      <c r="E71" s="66" t="s">
        <v>114</v>
      </c>
      <c r="F71" s="66" t="s">
        <v>114</v>
      </c>
      <c r="G71" s="66" t="s">
        <v>114</v>
      </c>
      <c r="H71" s="127"/>
      <c r="I71" s="60"/>
      <c r="J71" s="131"/>
      <c r="M71" s="66"/>
    </row>
    <row r="72" spans="1:13" x14ac:dyDescent="0.3">
      <c r="A72" s="60"/>
      <c r="B72" s="61">
        <v>11</v>
      </c>
      <c r="C72" s="62" t="s">
        <v>278</v>
      </c>
      <c r="D72" s="111" t="s">
        <v>284</v>
      </c>
      <c r="E72" s="118" t="s">
        <v>59</v>
      </c>
      <c r="F72" s="111" t="s">
        <v>58</v>
      </c>
      <c r="G72" s="111" t="s">
        <v>195</v>
      </c>
      <c r="H72" s="127"/>
      <c r="I72" s="60"/>
      <c r="J72" s="131"/>
      <c r="M72" s="111"/>
    </row>
    <row r="73" spans="1:13" x14ac:dyDescent="0.3">
      <c r="A73" s="60"/>
      <c r="B73" s="61">
        <v>12</v>
      </c>
      <c r="C73" s="62" t="s">
        <v>282</v>
      </c>
      <c r="D73" s="111" t="s">
        <v>284</v>
      </c>
      <c r="E73" s="118" t="s">
        <v>59</v>
      </c>
      <c r="F73" s="129"/>
      <c r="G73" s="129"/>
      <c r="H73" s="129"/>
      <c r="I73" s="60"/>
      <c r="J73" s="131"/>
    </row>
    <row r="74" spans="1:13" x14ac:dyDescent="0.3">
      <c r="A74" s="60"/>
      <c r="B74" s="60"/>
      <c r="C74" s="60"/>
      <c r="D74" s="60"/>
      <c r="E74" s="60"/>
      <c r="F74" s="60"/>
      <c r="G74" s="60"/>
      <c r="H74" s="119"/>
      <c r="I74" s="60"/>
      <c r="J74" s="131"/>
    </row>
    <row r="75" spans="1:13" x14ac:dyDescent="0.3">
      <c r="A75" s="60"/>
      <c r="B75" s="60"/>
      <c r="C75" s="60"/>
      <c r="D75" s="60"/>
      <c r="E75" s="60"/>
      <c r="F75" s="60"/>
      <c r="G75" s="60"/>
      <c r="H75" s="119"/>
      <c r="I75" s="60"/>
      <c r="J75" s="131"/>
    </row>
    <row r="76" spans="1:13" x14ac:dyDescent="0.3">
      <c r="A76" s="60"/>
      <c r="B76" s="60"/>
      <c r="C76" s="60"/>
      <c r="D76" s="60"/>
      <c r="E76" s="60"/>
      <c r="F76" s="60"/>
      <c r="G76" s="60"/>
      <c r="H76" s="119"/>
      <c r="I76" s="60"/>
      <c r="J76" s="131"/>
    </row>
    <row r="77" spans="1:13" x14ac:dyDescent="0.3">
      <c r="A77" s="60"/>
      <c r="B77" s="139" t="s">
        <v>113</v>
      </c>
      <c r="C77" s="139"/>
      <c r="D77" s="139"/>
      <c r="E77" s="139"/>
      <c r="F77" s="139"/>
      <c r="G77" s="139"/>
      <c r="H77" s="139"/>
      <c r="I77" s="60"/>
      <c r="J77" s="131"/>
    </row>
    <row r="78" spans="1:13" x14ac:dyDescent="0.3">
      <c r="A78" s="60"/>
      <c r="B78" s="139" t="s">
        <v>280</v>
      </c>
      <c r="C78" s="139"/>
      <c r="D78" s="139"/>
      <c r="E78" s="139"/>
      <c r="F78" s="139"/>
      <c r="G78" s="139"/>
      <c r="H78" s="139"/>
      <c r="I78" s="60"/>
      <c r="J78" s="131"/>
    </row>
    <row r="79" spans="1:13" x14ac:dyDescent="0.3">
      <c r="A79" s="60"/>
      <c r="B79" s="139" t="s">
        <v>285</v>
      </c>
      <c r="C79" s="139"/>
      <c r="D79" s="139"/>
      <c r="E79" s="139"/>
      <c r="F79" s="139"/>
      <c r="G79" s="139"/>
      <c r="H79" s="139"/>
      <c r="I79" s="60"/>
      <c r="J79" s="131"/>
    </row>
    <row r="80" spans="1:13" x14ac:dyDescent="0.3">
      <c r="A80" s="60"/>
      <c r="B80" s="60"/>
      <c r="C80" s="60"/>
      <c r="D80" s="60"/>
      <c r="E80" s="60"/>
      <c r="F80" s="60"/>
      <c r="G80" s="60"/>
      <c r="H80" s="119"/>
      <c r="I80" s="60"/>
      <c r="J80" s="131"/>
    </row>
    <row r="81" spans="1:10" x14ac:dyDescent="0.3">
      <c r="A81" s="60"/>
      <c r="B81" s="65" t="s">
        <v>111</v>
      </c>
      <c r="C81" s="66" t="s">
        <v>112</v>
      </c>
      <c r="D81" s="66" t="s">
        <v>46</v>
      </c>
      <c r="E81" s="66" t="s">
        <v>47</v>
      </c>
      <c r="F81" s="66" t="s">
        <v>48</v>
      </c>
      <c r="G81" s="66" t="s">
        <v>49</v>
      </c>
      <c r="H81" s="117" t="s">
        <v>110</v>
      </c>
      <c r="I81" s="60"/>
      <c r="J81" s="131"/>
    </row>
    <row r="82" spans="1:10" x14ac:dyDescent="0.3">
      <c r="A82" s="60"/>
      <c r="B82" s="65"/>
      <c r="C82" s="66"/>
      <c r="D82" s="66"/>
      <c r="E82" s="66"/>
      <c r="F82" s="66"/>
      <c r="G82" s="66"/>
      <c r="H82" s="117"/>
      <c r="I82" s="60"/>
      <c r="J82" s="131"/>
    </row>
    <row r="83" spans="1:10" ht="14.4" customHeight="1" x14ac:dyDescent="0.3">
      <c r="A83" s="60"/>
      <c r="B83" s="61">
        <v>1</v>
      </c>
      <c r="C83" s="62" t="s">
        <v>271</v>
      </c>
      <c r="D83" s="136" t="s">
        <v>118</v>
      </c>
      <c r="E83" s="111" t="s">
        <v>115</v>
      </c>
      <c r="F83" s="111" t="s">
        <v>115</v>
      </c>
      <c r="G83" s="111" t="s">
        <v>115</v>
      </c>
      <c r="H83" s="111" t="s">
        <v>115</v>
      </c>
      <c r="I83" s="60"/>
      <c r="J83" s="131"/>
    </row>
    <row r="84" spans="1:10" ht="14.4" customHeight="1" x14ac:dyDescent="0.3">
      <c r="A84" s="60"/>
      <c r="B84" s="61">
        <v>2</v>
      </c>
      <c r="C84" s="62" t="s">
        <v>272</v>
      </c>
      <c r="D84" s="111" t="s">
        <v>193</v>
      </c>
      <c r="E84" s="111" t="s">
        <v>284</v>
      </c>
      <c r="F84" s="111" t="s">
        <v>284</v>
      </c>
      <c r="G84" s="118" t="s">
        <v>59</v>
      </c>
      <c r="H84" s="111" t="s">
        <v>196</v>
      </c>
      <c r="I84" s="60"/>
      <c r="J84" s="131"/>
    </row>
    <row r="85" spans="1:10" x14ac:dyDescent="0.3">
      <c r="A85" s="60"/>
      <c r="B85" s="61">
        <v>3</v>
      </c>
      <c r="C85" s="62" t="s">
        <v>273</v>
      </c>
      <c r="D85" s="111" t="s">
        <v>193</v>
      </c>
      <c r="E85" s="111" t="s">
        <v>284</v>
      </c>
      <c r="F85" s="111" t="s">
        <v>284</v>
      </c>
      <c r="G85" s="118" t="s">
        <v>59</v>
      </c>
      <c r="H85" s="111" t="s">
        <v>196</v>
      </c>
      <c r="I85" s="60"/>
      <c r="J85" s="131"/>
    </row>
    <row r="86" spans="1:10" x14ac:dyDescent="0.3">
      <c r="A86" s="60"/>
      <c r="B86" s="61">
        <v>4</v>
      </c>
      <c r="C86" s="62" t="s">
        <v>274</v>
      </c>
      <c r="D86" s="111" t="s">
        <v>58</v>
      </c>
      <c r="E86" s="111" t="s">
        <v>195</v>
      </c>
      <c r="F86" s="118" t="s">
        <v>64</v>
      </c>
      <c r="G86" s="111" t="s">
        <v>195</v>
      </c>
      <c r="H86" s="111" t="s">
        <v>284</v>
      </c>
      <c r="I86" s="60"/>
      <c r="J86" s="131"/>
    </row>
    <row r="87" spans="1:10" x14ac:dyDescent="0.3">
      <c r="A87" s="60"/>
      <c r="B87" s="61">
        <v>5</v>
      </c>
      <c r="C87" s="62" t="s">
        <v>275</v>
      </c>
      <c r="D87" s="111" t="s">
        <v>58</v>
      </c>
      <c r="E87" s="111" t="s">
        <v>195</v>
      </c>
      <c r="F87" s="118" t="s">
        <v>64</v>
      </c>
      <c r="G87" s="111" t="s">
        <v>195</v>
      </c>
      <c r="H87" s="111" t="s">
        <v>284</v>
      </c>
      <c r="I87" s="60"/>
      <c r="J87" s="131"/>
    </row>
    <row r="88" spans="1:10" x14ac:dyDescent="0.3">
      <c r="A88" s="60"/>
      <c r="B88" s="61">
        <v>6</v>
      </c>
      <c r="C88" s="63" t="s">
        <v>276</v>
      </c>
      <c r="D88" s="66" t="s">
        <v>114</v>
      </c>
      <c r="E88" s="66" t="s">
        <v>114</v>
      </c>
      <c r="F88" s="64" t="s">
        <v>114</v>
      </c>
      <c r="G88" s="64" t="s">
        <v>114</v>
      </c>
      <c r="H88" s="117" t="s">
        <v>114</v>
      </c>
      <c r="I88" s="60"/>
      <c r="J88" s="131"/>
    </row>
    <row r="89" spans="1:10" x14ac:dyDescent="0.3">
      <c r="A89" s="60"/>
      <c r="B89" s="61">
        <v>7</v>
      </c>
      <c r="C89" s="62" t="s">
        <v>210</v>
      </c>
      <c r="D89" s="111" t="s">
        <v>117</v>
      </c>
      <c r="E89" s="118" t="s">
        <v>59</v>
      </c>
      <c r="F89" s="118" t="s">
        <v>59</v>
      </c>
      <c r="G89" s="111" t="s">
        <v>194</v>
      </c>
      <c r="H89" s="111" t="s">
        <v>58</v>
      </c>
      <c r="I89" s="60"/>
      <c r="J89" s="131"/>
    </row>
    <row r="90" spans="1:10" x14ac:dyDescent="0.3">
      <c r="A90" s="60"/>
      <c r="B90" s="61">
        <v>8</v>
      </c>
      <c r="C90" s="62" t="s">
        <v>211</v>
      </c>
      <c r="D90" s="111" t="s">
        <v>117</v>
      </c>
      <c r="E90" s="118" t="s">
        <v>59</v>
      </c>
      <c r="F90" s="118" t="s">
        <v>59</v>
      </c>
      <c r="G90" s="111" t="s">
        <v>194</v>
      </c>
      <c r="H90" s="111" t="s">
        <v>58</v>
      </c>
      <c r="I90" s="60"/>
      <c r="J90" s="131"/>
    </row>
    <row r="91" spans="1:10" x14ac:dyDescent="0.3">
      <c r="A91" s="60"/>
      <c r="B91" s="61">
        <v>9</v>
      </c>
      <c r="C91" s="62" t="s">
        <v>212</v>
      </c>
      <c r="D91" s="111" t="s">
        <v>117</v>
      </c>
      <c r="E91" s="111" t="s">
        <v>193</v>
      </c>
      <c r="F91" s="111" t="s">
        <v>58</v>
      </c>
      <c r="G91" s="111" t="s">
        <v>194</v>
      </c>
      <c r="H91" s="128"/>
      <c r="I91" s="60"/>
      <c r="J91" s="131"/>
    </row>
    <row r="92" spans="1:10" x14ac:dyDescent="0.3">
      <c r="A92" s="60"/>
      <c r="B92" s="61">
        <v>10</v>
      </c>
      <c r="C92" s="62" t="s">
        <v>277</v>
      </c>
      <c r="D92" s="66" t="s">
        <v>114</v>
      </c>
      <c r="E92" s="66" t="s">
        <v>114</v>
      </c>
      <c r="F92" s="66" t="s">
        <v>114</v>
      </c>
      <c r="G92" s="66" t="s">
        <v>114</v>
      </c>
      <c r="H92" s="127"/>
      <c r="I92" s="60"/>
      <c r="J92" s="131"/>
    </row>
    <row r="93" spans="1:10" x14ac:dyDescent="0.3">
      <c r="A93" s="60"/>
      <c r="B93" s="61">
        <v>11</v>
      </c>
      <c r="C93" s="62" t="s">
        <v>278</v>
      </c>
      <c r="D93" s="111" t="s">
        <v>117</v>
      </c>
      <c r="E93" s="111" t="s">
        <v>193</v>
      </c>
      <c r="F93" s="111" t="s">
        <v>58</v>
      </c>
      <c r="G93" s="111" t="s">
        <v>194</v>
      </c>
      <c r="H93" s="127"/>
      <c r="I93" s="60"/>
      <c r="J93" s="131"/>
    </row>
    <row r="94" spans="1:10" x14ac:dyDescent="0.3">
      <c r="A94" s="60"/>
      <c r="B94" s="61">
        <v>12</v>
      </c>
      <c r="C94" s="62" t="s">
        <v>282</v>
      </c>
      <c r="D94" s="111" t="s">
        <v>291</v>
      </c>
      <c r="E94" s="111" t="s">
        <v>193</v>
      </c>
      <c r="F94" s="111" t="s">
        <v>58</v>
      </c>
      <c r="G94" s="129"/>
      <c r="H94" s="129"/>
      <c r="I94" s="60"/>
      <c r="J94" s="131"/>
    </row>
    <row r="95" spans="1:10" x14ac:dyDescent="0.3">
      <c r="A95" s="60"/>
      <c r="B95" s="60"/>
      <c r="C95" s="75"/>
      <c r="D95" s="110"/>
      <c r="E95" s="110"/>
      <c r="F95" s="110"/>
      <c r="G95" s="60"/>
      <c r="H95" s="119"/>
      <c r="I95" s="60"/>
      <c r="J95" s="131"/>
    </row>
    <row r="96" spans="1:10" x14ac:dyDescent="0.3">
      <c r="A96" s="60"/>
      <c r="B96" s="60"/>
      <c r="C96" s="75"/>
      <c r="D96" s="110"/>
      <c r="E96" s="110"/>
      <c r="F96" s="110"/>
      <c r="G96" s="60"/>
      <c r="H96" s="119"/>
      <c r="I96" s="60"/>
      <c r="J96" s="131"/>
    </row>
    <row r="97" spans="1:10" x14ac:dyDescent="0.3">
      <c r="A97" s="60"/>
      <c r="B97" s="139" t="s">
        <v>113</v>
      </c>
      <c r="C97" s="139"/>
      <c r="D97" s="139"/>
      <c r="E97" s="139"/>
      <c r="F97" s="139"/>
      <c r="G97" s="139"/>
      <c r="H97" s="139"/>
      <c r="I97" s="60"/>
      <c r="J97" s="131"/>
    </row>
    <row r="98" spans="1:10" x14ac:dyDescent="0.3">
      <c r="A98" s="60"/>
      <c r="B98" s="139" t="s">
        <v>280</v>
      </c>
      <c r="C98" s="139"/>
      <c r="D98" s="139"/>
      <c r="E98" s="139"/>
      <c r="F98" s="139"/>
      <c r="G98" s="139"/>
      <c r="H98" s="139"/>
      <c r="I98" s="60"/>
      <c r="J98" s="131"/>
    </row>
    <row r="99" spans="1:10" x14ac:dyDescent="0.3">
      <c r="A99" s="60"/>
      <c r="B99" s="139" t="s">
        <v>286</v>
      </c>
      <c r="C99" s="139"/>
      <c r="D99" s="139"/>
      <c r="E99" s="139"/>
      <c r="F99" s="139"/>
      <c r="G99" s="139"/>
      <c r="H99" s="139"/>
      <c r="I99" s="60"/>
      <c r="J99" s="131"/>
    </row>
    <row r="100" spans="1:10" x14ac:dyDescent="0.3">
      <c r="A100" s="60"/>
      <c r="B100" s="60"/>
      <c r="C100" s="60"/>
      <c r="D100" s="60"/>
      <c r="E100" s="60"/>
      <c r="F100" s="60"/>
      <c r="G100" s="60"/>
      <c r="H100" s="119"/>
      <c r="I100" s="60"/>
      <c r="J100" s="131"/>
    </row>
    <row r="101" spans="1:10" x14ac:dyDescent="0.3">
      <c r="A101" s="60"/>
      <c r="B101" s="65" t="s">
        <v>111</v>
      </c>
      <c r="C101" s="66" t="s">
        <v>112</v>
      </c>
      <c r="D101" s="66" t="s">
        <v>46</v>
      </c>
      <c r="E101" s="66" t="s">
        <v>47</v>
      </c>
      <c r="F101" s="66" t="s">
        <v>48</v>
      </c>
      <c r="G101" s="66" t="s">
        <v>49</v>
      </c>
      <c r="H101" s="117" t="s">
        <v>110</v>
      </c>
      <c r="I101" s="60"/>
      <c r="J101" s="131"/>
    </row>
    <row r="102" spans="1:10" x14ac:dyDescent="0.3">
      <c r="A102" s="60"/>
      <c r="B102" s="65"/>
      <c r="C102" s="66"/>
      <c r="D102" s="66"/>
      <c r="E102" s="66"/>
      <c r="F102" s="66"/>
      <c r="G102" s="66"/>
      <c r="H102" s="117"/>
      <c r="I102" s="60"/>
      <c r="J102" s="131"/>
    </row>
    <row r="103" spans="1:10" ht="14.4" customHeight="1" x14ac:dyDescent="0.3">
      <c r="A103" s="60"/>
      <c r="B103" s="61">
        <v>1</v>
      </c>
      <c r="C103" s="62" t="s">
        <v>271</v>
      </c>
      <c r="D103" s="136" t="s">
        <v>118</v>
      </c>
      <c r="E103" s="111" t="s">
        <v>115</v>
      </c>
      <c r="F103" s="111" t="s">
        <v>115</v>
      </c>
      <c r="G103" s="111" t="s">
        <v>115</v>
      </c>
      <c r="H103" s="111" t="s">
        <v>115</v>
      </c>
      <c r="I103" s="60"/>
      <c r="J103" s="131"/>
    </row>
    <row r="104" spans="1:10" ht="14.4" customHeight="1" x14ac:dyDescent="0.3">
      <c r="A104" s="60"/>
      <c r="B104" s="61">
        <v>2</v>
      </c>
      <c r="C104" s="62" t="s">
        <v>272</v>
      </c>
      <c r="D104" s="111" t="s">
        <v>193</v>
      </c>
      <c r="E104" s="111" t="s">
        <v>284</v>
      </c>
      <c r="F104" s="111" t="s">
        <v>58</v>
      </c>
      <c r="G104" s="118" t="s">
        <v>59</v>
      </c>
      <c r="H104" s="111" t="s">
        <v>196</v>
      </c>
      <c r="I104" s="60"/>
      <c r="J104" s="131"/>
    </row>
    <row r="105" spans="1:10" x14ac:dyDescent="0.3">
      <c r="A105" s="60"/>
      <c r="B105" s="61">
        <v>3</v>
      </c>
      <c r="C105" s="62" t="s">
        <v>273</v>
      </c>
      <c r="D105" s="111" t="s">
        <v>193</v>
      </c>
      <c r="E105" s="111" t="s">
        <v>284</v>
      </c>
      <c r="F105" s="111" t="s">
        <v>58</v>
      </c>
      <c r="G105" s="118" t="s">
        <v>59</v>
      </c>
      <c r="H105" s="111" t="s">
        <v>196</v>
      </c>
      <c r="I105" s="60"/>
      <c r="J105" s="131"/>
    </row>
    <row r="106" spans="1:10" x14ac:dyDescent="0.3">
      <c r="A106" s="60"/>
      <c r="B106" s="61">
        <v>4</v>
      </c>
      <c r="C106" s="62" t="s">
        <v>274</v>
      </c>
      <c r="D106" s="111" t="s">
        <v>284</v>
      </c>
      <c r="E106" s="111" t="s">
        <v>195</v>
      </c>
      <c r="F106" s="118" t="s">
        <v>59</v>
      </c>
      <c r="G106" s="111" t="s">
        <v>195</v>
      </c>
      <c r="H106" s="111" t="s">
        <v>284</v>
      </c>
      <c r="I106" s="60"/>
      <c r="J106" s="131"/>
    </row>
    <row r="107" spans="1:10" x14ac:dyDescent="0.3">
      <c r="A107" s="60"/>
      <c r="B107" s="61">
        <v>5</v>
      </c>
      <c r="C107" s="62" t="s">
        <v>275</v>
      </c>
      <c r="D107" s="111" t="s">
        <v>284</v>
      </c>
      <c r="E107" s="111" t="s">
        <v>195</v>
      </c>
      <c r="F107" s="118" t="s">
        <v>59</v>
      </c>
      <c r="G107" s="111" t="s">
        <v>195</v>
      </c>
      <c r="H107" s="111" t="s">
        <v>284</v>
      </c>
      <c r="I107" s="60"/>
      <c r="J107" s="131"/>
    </row>
    <row r="108" spans="1:10" x14ac:dyDescent="0.3">
      <c r="A108" s="60"/>
      <c r="B108" s="61">
        <v>6</v>
      </c>
      <c r="C108" s="63" t="s">
        <v>276</v>
      </c>
      <c r="D108" s="66" t="s">
        <v>114</v>
      </c>
      <c r="E108" s="66" t="s">
        <v>114</v>
      </c>
      <c r="F108" s="64" t="s">
        <v>114</v>
      </c>
      <c r="G108" s="64" t="s">
        <v>114</v>
      </c>
      <c r="H108" s="117" t="s">
        <v>114</v>
      </c>
      <c r="I108" s="60"/>
      <c r="J108" s="131"/>
    </row>
    <row r="109" spans="1:10" x14ac:dyDescent="0.3">
      <c r="A109" s="60"/>
      <c r="B109" s="61">
        <v>7</v>
      </c>
      <c r="C109" s="62" t="s">
        <v>210</v>
      </c>
      <c r="D109" s="111" t="s">
        <v>194</v>
      </c>
      <c r="E109" s="118" t="s">
        <v>59</v>
      </c>
      <c r="F109" s="118" t="s">
        <v>64</v>
      </c>
      <c r="G109" s="111" t="s">
        <v>117</v>
      </c>
      <c r="H109" s="111" t="s">
        <v>58</v>
      </c>
      <c r="I109" s="60"/>
      <c r="J109" s="131"/>
    </row>
    <row r="110" spans="1:10" x14ac:dyDescent="0.3">
      <c r="A110" s="60"/>
      <c r="B110" s="61">
        <v>8</v>
      </c>
      <c r="C110" s="62" t="s">
        <v>211</v>
      </c>
      <c r="D110" s="111" t="s">
        <v>194</v>
      </c>
      <c r="E110" s="118" t="s">
        <v>59</v>
      </c>
      <c r="F110" s="118" t="s">
        <v>64</v>
      </c>
      <c r="G110" s="111" t="s">
        <v>117</v>
      </c>
      <c r="H110" s="111" t="s">
        <v>58</v>
      </c>
      <c r="I110" s="60"/>
      <c r="J110" s="131"/>
    </row>
    <row r="111" spans="1:10" x14ac:dyDescent="0.3">
      <c r="A111" s="60"/>
      <c r="B111" s="61">
        <v>9</v>
      </c>
      <c r="C111" s="62" t="s">
        <v>212</v>
      </c>
      <c r="D111" s="111" t="s">
        <v>194</v>
      </c>
      <c r="E111" s="111" t="s">
        <v>58</v>
      </c>
      <c r="F111" s="111" t="s">
        <v>193</v>
      </c>
      <c r="G111" s="111" t="s">
        <v>117</v>
      </c>
      <c r="H111" s="128"/>
      <c r="I111" s="60"/>
      <c r="J111" s="131"/>
    </row>
    <row r="112" spans="1:10" x14ac:dyDescent="0.3">
      <c r="A112" s="60"/>
      <c r="B112" s="61">
        <v>10</v>
      </c>
      <c r="C112" s="62" t="s">
        <v>277</v>
      </c>
      <c r="D112" s="66" t="s">
        <v>114</v>
      </c>
      <c r="E112" s="66" t="s">
        <v>114</v>
      </c>
      <c r="F112" s="66" t="s">
        <v>114</v>
      </c>
      <c r="G112" s="66" t="s">
        <v>114</v>
      </c>
      <c r="H112" s="127"/>
      <c r="I112" s="60"/>
      <c r="J112" s="131"/>
    </row>
    <row r="113" spans="1:10" x14ac:dyDescent="0.3">
      <c r="A113" s="60"/>
      <c r="B113" s="61">
        <v>11</v>
      </c>
      <c r="C113" s="62" t="s">
        <v>278</v>
      </c>
      <c r="D113" s="111" t="s">
        <v>194</v>
      </c>
      <c r="E113" s="111" t="s">
        <v>58</v>
      </c>
      <c r="F113" s="111" t="s">
        <v>193</v>
      </c>
      <c r="G113" s="111" t="s">
        <v>117</v>
      </c>
      <c r="H113" s="127"/>
      <c r="I113" s="60"/>
      <c r="J113" s="131"/>
    </row>
    <row r="114" spans="1:10" x14ac:dyDescent="0.3">
      <c r="A114" s="60"/>
      <c r="B114" s="61">
        <v>12</v>
      </c>
      <c r="C114" s="62" t="s">
        <v>282</v>
      </c>
      <c r="D114" s="111" t="s">
        <v>291</v>
      </c>
      <c r="E114" s="111" t="s">
        <v>58</v>
      </c>
      <c r="F114" s="111" t="s">
        <v>193</v>
      </c>
      <c r="G114" s="129"/>
      <c r="H114" s="129"/>
      <c r="I114" s="60"/>
      <c r="J114" s="131"/>
    </row>
    <row r="115" spans="1:10" x14ac:dyDescent="0.3">
      <c r="A115" s="60"/>
      <c r="B115" s="60"/>
      <c r="C115" s="60"/>
      <c r="D115" s="60"/>
      <c r="E115" s="60"/>
      <c r="F115" s="60"/>
      <c r="G115" s="60"/>
      <c r="H115" s="119"/>
      <c r="I115" s="60"/>
      <c r="J115" s="131"/>
    </row>
    <row r="116" spans="1:10" x14ac:dyDescent="0.3">
      <c r="A116" s="60"/>
      <c r="B116" s="60"/>
      <c r="C116" s="60"/>
      <c r="D116" s="60"/>
      <c r="E116" s="60"/>
      <c r="F116" s="60"/>
      <c r="G116" s="60"/>
      <c r="H116" s="119"/>
      <c r="I116" s="60"/>
      <c r="J116" s="131"/>
    </row>
    <row r="117" spans="1:10" x14ac:dyDescent="0.3">
      <c r="A117" s="60"/>
      <c r="B117" s="60"/>
      <c r="C117" s="60"/>
      <c r="D117" s="60"/>
      <c r="E117" s="60"/>
      <c r="F117" s="60"/>
      <c r="G117" s="60"/>
      <c r="H117" s="119"/>
      <c r="I117" s="60"/>
      <c r="J117" s="131"/>
    </row>
    <row r="118" spans="1:10" x14ac:dyDescent="0.3">
      <c r="A118" s="60"/>
      <c r="B118" s="60"/>
      <c r="C118" s="60"/>
      <c r="D118" s="60"/>
      <c r="E118" s="60"/>
      <c r="F118" s="60"/>
      <c r="G118" s="60"/>
      <c r="H118" s="119"/>
      <c r="I118" s="60"/>
      <c r="J118" s="131"/>
    </row>
    <row r="119" spans="1:10" x14ac:dyDescent="0.3">
      <c r="A119" s="60"/>
      <c r="B119" s="60"/>
      <c r="C119" s="60"/>
      <c r="D119" s="60"/>
      <c r="E119" s="60"/>
      <c r="F119" s="60"/>
      <c r="G119" s="60"/>
      <c r="H119" s="119"/>
      <c r="I119" s="60"/>
      <c r="J119" s="131"/>
    </row>
    <row r="120" spans="1:10" x14ac:dyDescent="0.3">
      <c r="A120" s="60"/>
      <c r="B120" s="60"/>
      <c r="C120" s="60"/>
      <c r="D120" s="60"/>
      <c r="E120" s="60"/>
      <c r="F120" s="60"/>
      <c r="G120" s="60"/>
      <c r="H120" s="119"/>
      <c r="I120" s="60"/>
      <c r="J120" s="131"/>
    </row>
    <row r="121" spans="1:10" x14ac:dyDescent="0.3">
      <c r="A121" s="60"/>
      <c r="B121" s="139" t="s">
        <v>113</v>
      </c>
      <c r="C121" s="139"/>
      <c r="D121" s="139"/>
      <c r="E121" s="139"/>
      <c r="F121" s="139"/>
      <c r="G121" s="139"/>
      <c r="H121" s="139"/>
      <c r="I121" s="60"/>
      <c r="J121" s="131"/>
    </row>
    <row r="122" spans="1:10" x14ac:dyDescent="0.3">
      <c r="A122" s="60"/>
      <c r="B122" s="139" t="s">
        <v>280</v>
      </c>
      <c r="C122" s="139"/>
      <c r="D122" s="139"/>
      <c r="E122" s="139"/>
      <c r="F122" s="139"/>
      <c r="G122" s="139"/>
      <c r="H122" s="139"/>
      <c r="I122" s="60"/>
      <c r="J122" s="131"/>
    </row>
    <row r="123" spans="1:10" x14ac:dyDescent="0.3">
      <c r="A123" s="60"/>
      <c r="B123" s="139" t="s">
        <v>74</v>
      </c>
      <c r="C123" s="139"/>
      <c r="D123" s="139"/>
      <c r="E123" s="139"/>
      <c r="F123" s="139"/>
      <c r="G123" s="139"/>
      <c r="H123" s="139"/>
      <c r="I123" s="60"/>
      <c r="J123" s="131"/>
    </row>
    <row r="124" spans="1:10" x14ac:dyDescent="0.3">
      <c r="A124" s="60"/>
      <c r="B124" s="60"/>
      <c r="C124" s="60"/>
      <c r="D124" s="60"/>
      <c r="E124" s="60"/>
      <c r="F124" s="60"/>
      <c r="G124" s="60"/>
      <c r="H124" s="119"/>
      <c r="I124" s="60"/>
      <c r="J124" s="131"/>
    </row>
    <row r="125" spans="1:10" x14ac:dyDescent="0.3">
      <c r="A125" s="60"/>
      <c r="B125" s="65" t="s">
        <v>111</v>
      </c>
      <c r="C125" s="66" t="s">
        <v>112</v>
      </c>
      <c r="D125" s="66" t="s">
        <v>46</v>
      </c>
      <c r="E125" s="66" t="s">
        <v>47</v>
      </c>
      <c r="F125" s="66" t="s">
        <v>48</v>
      </c>
      <c r="G125" s="66" t="s">
        <v>49</v>
      </c>
      <c r="H125" s="117" t="s">
        <v>110</v>
      </c>
      <c r="I125" s="60"/>
      <c r="J125" s="131"/>
    </row>
    <row r="126" spans="1:10" ht="3.6" customHeight="1" x14ac:dyDescent="0.3">
      <c r="A126" s="60"/>
      <c r="B126" s="65"/>
      <c r="C126" s="66"/>
      <c r="D126" s="66"/>
      <c r="E126" s="66"/>
      <c r="F126" s="66"/>
      <c r="G126" s="66"/>
      <c r="H126" s="117"/>
      <c r="I126" s="60"/>
      <c r="J126" s="131"/>
    </row>
    <row r="127" spans="1:10" ht="14.4" customHeight="1" x14ac:dyDescent="0.3">
      <c r="A127" s="60"/>
      <c r="B127" s="61">
        <v>1</v>
      </c>
      <c r="C127" s="62" t="s">
        <v>271</v>
      </c>
      <c r="D127" s="136" t="s">
        <v>118</v>
      </c>
      <c r="E127" s="111" t="s">
        <v>115</v>
      </c>
      <c r="F127" s="111" t="s">
        <v>115</v>
      </c>
      <c r="G127" s="111" t="s">
        <v>115</v>
      </c>
      <c r="H127" s="111" t="s">
        <v>115</v>
      </c>
      <c r="I127" s="60"/>
      <c r="J127" s="131"/>
    </row>
    <row r="128" spans="1:10" ht="14.4" customHeight="1" x14ac:dyDescent="0.3">
      <c r="A128" s="60"/>
      <c r="B128" s="61">
        <v>2</v>
      </c>
      <c r="C128" s="62" t="s">
        <v>272</v>
      </c>
      <c r="D128" s="111" t="s">
        <v>59</v>
      </c>
      <c r="E128" s="111" t="s">
        <v>291</v>
      </c>
      <c r="F128" s="111" t="s">
        <v>291</v>
      </c>
      <c r="G128" s="111" t="s">
        <v>291</v>
      </c>
      <c r="H128" s="111" t="s">
        <v>291</v>
      </c>
      <c r="I128" s="60"/>
      <c r="J128" s="131"/>
    </row>
    <row r="129" spans="1:10" x14ac:dyDescent="0.3">
      <c r="A129" s="60"/>
      <c r="B129" s="61">
        <v>3</v>
      </c>
      <c r="C129" s="62" t="s">
        <v>273</v>
      </c>
      <c r="D129" s="111" t="s">
        <v>59</v>
      </c>
      <c r="E129" s="111" t="s">
        <v>58</v>
      </c>
      <c r="F129" s="111" t="s">
        <v>284</v>
      </c>
      <c r="G129" s="111" t="s">
        <v>58</v>
      </c>
      <c r="H129" s="111" t="s">
        <v>313</v>
      </c>
      <c r="I129" s="60"/>
      <c r="J129" s="131"/>
    </row>
    <row r="130" spans="1:10" x14ac:dyDescent="0.3">
      <c r="A130" s="60"/>
      <c r="B130" s="61">
        <v>4</v>
      </c>
      <c r="C130" s="62" t="s">
        <v>274</v>
      </c>
      <c r="D130" s="111" t="s">
        <v>59</v>
      </c>
      <c r="E130" s="111" t="s">
        <v>58</v>
      </c>
      <c r="F130" s="111" t="s">
        <v>284</v>
      </c>
      <c r="G130" s="111" t="s">
        <v>58</v>
      </c>
      <c r="H130" s="111" t="s">
        <v>313</v>
      </c>
      <c r="I130" s="60"/>
      <c r="J130" s="131"/>
    </row>
    <row r="131" spans="1:10" x14ac:dyDescent="0.3">
      <c r="A131" s="60"/>
      <c r="B131" s="61">
        <v>5</v>
      </c>
      <c r="C131" s="62" t="s">
        <v>275</v>
      </c>
      <c r="D131" s="111" t="s">
        <v>193</v>
      </c>
      <c r="E131" s="111" t="s">
        <v>58</v>
      </c>
      <c r="F131" s="111" t="s">
        <v>284</v>
      </c>
      <c r="G131" s="111" t="s">
        <v>193</v>
      </c>
      <c r="H131" s="111" t="s">
        <v>284</v>
      </c>
      <c r="I131" s="60"/>
      <c r="J131" s="131"/>
    </row>
    <row r="132" spans="1:10" x14ac:dyDescent="0.3">
      <c r="A132" s="60"/>
      <c r="B132" s="61">
        <v>6</v>
      </c>
      <c r="C132" s="63" t="s">
        <v>276</v>
      </c>
      <c r="D132" s="66" t="s">
        <v>114</v>
      </c>
      <c r="E132" s="66" t="s">
        <v>114</v>
      </c>
      <c r="F132" s="71" t="s">
        <v>114</v>
      </c>
      <c r="G132" s="71" t="s">
        <v>114</v>
      </c>
      <c r="H132" s="117" t="s">
        <v>114</v>
      </c>
      <c r="I132" s="60"/>
      <c r="J132" s="131"/>
    </row>
    <row r="133" spans="1:10" x14ac:dyDescent="0.3">
      <c r="A133" s="60"/>
      <c r="B133" s="61">
        <v>7</v>
      </c>
      <c r="C133" s="62" t="s">
        <v>210</v>
      </c>
      <c r="D133" s="111" t="s">
        <v>193</v>
      </c>
      <c r="E133" s="111" t="s">
        <v>196</v>
      </c>
      <c r="F133" s="111" t="s">
        <v>117</v>
      </c>
      <c r="G133" s="111" t="s">
        <v>193</v>
      </c>
      <c r="H133" s="111" t="s">
        <v>284</v>
      </c>
      <c r="I133" s="60"/>
      <c r="J133" s="131"/>
    </row>
    <row r="134" spans="1:10" x14ac:dyDescent="0.3">
      <c r="A134" s="60"/>
      <c r="B134" s="61">
        <v>8</v>
      </c>
      <c r="C134" s="62" t="s">
        <v>211</v>
      </c>
      <c r="D134" s="111" t="s">
        <v>193</v>
      </c>
      <c r="E134" s="111" t="s">
        <v>196</v>
      </c>
      <c r="F134" s="111" t="s">
        <v>117</v>
      </c>
      <c r="G134" s="111" t="s">
        <v>195</v>
      </c>
      <c r="H134" s="111" t="s">
        <v>284</v>
      </c>
      <c r="I134" s="60"/>
      <c r="J134" s="131"/>
    </row>
    <row r="135" spans="1:10" x14ac:dyDescent="0.3">
      <c r="A135" s="60"/>
      <c r="B135" s="61">
        <v>9</v>
      </c>
      <c r="C135" s="62" t="s">
        <v>212</v>
      </c>
      <c r="D135" s="111" t="s">
        <v>58</v>
      </c>
      <c r="E135" s="111" t="s">
        <v>194</v>
      </c>
      <c r="F135" s="111" t="s">
        <v>117</v>
      </c>
      <c r="G135" s="111" t="s">
        <v>195</v>
      </c>
      <c r="H135" s="128"/>
      <c r="I135" s="60"/>
      <c r="J135" s="131"/>
    </row>
    <row r="136" spans="1:10" x14ac:dyDescent="0.3">
      <c r="A136" s="60"/>
      <c r="B136" s="61">
        <v>10</v>
      </c>
      <c r="C136" s="62" t="s">
        <v>303</v>
      </c>
      <c r="D136" s="66" t="s">
        <v>114</v>
      </c>
      <c r="E136" s="66" t="s">
        <v>114</v>
      </c>
      <c r="F136" s="66" t="s">
        <v>114</v>
      </c>
      <c r="G136" s="66" t="s">
        <v>114</v>
      </c>
      <c r="H136" s="127"/>
      <c r="I136" s="60"/>
      <c r="J136" s="131"/>
    </row>
    <row r="137" spans="1:10" ht="14.4" customHeight="1" x14ac:dyDescent="0.3">
      <c r="A137" s="60"/>
      <c r="B137" s="61">
        <v>11</v>
      </c>
      <c r="C137" s="62" t="s">
        <v>304</v>
      </c>
      <c r="D137" s="111" t="s">
        <v>58</v>
      </c>
      <c r="E137" s="111" t="s">
        <v>194</v>
      </c>
      <c r="F137" s="111" t="s">
        <v>117</v>
      </c>
      <c r="G137" s="111" t="s">
        <v>59</v>
      </c>
      <c r="H137" s="127"/>
      <c r="I137" s="60"/>
      <c r="J137" s="131"/>
    </row>
    <row r="138" spans="1:10" ht="14.4" customHeight="1" x14ac:dyDescent="0.3">
      <c r="A138" s="60"/>
      <c r="B138" s="61">
        <v>12</v>
      </c>
      <c r="C138" s="62" t="s">
        <v>305</v>
      </c>
      <c r="D138" s="66" t="s">
        <v>58</v>
      </c>
      <c r="E138" s="111" t="s">
        <v>194</v>
      </c>
      <c r="F138" s="111" t="s">
        <v>195</v>
      </c>
      <c r="G138" s="111" t="s">
        <v>59</v>
      </c>
      <c r="H138" s="129"/>
      <c r="I138" s="60"/>
      <c r="J138" s="131"/>
    </row>
    <row r="139" spans="1:10" x14ac:dyDescent="0.3">
      <c r="A139" s="60"/>
      <c r="B139" s="61">
        <v>13</v>
      </c>
      <c r="C139" s="62" t="s">
        <v>306</v>
      </c>
      <c r="D139" s="118" t="s">
        <v>64</v>
      </c>
      <c r="E139" s="111" t="s">
        <v>194</v>
      </c>
      <c r="F139" s="111" t="s">
        <v>195</v>
      </c>
      <c r="G139" s="111" t="s">
        <v>59</v>
      </c>
      <c r="H139" s="129"/>
      <c r="I139" s="60"/>
      <c r="J139" s="131"/>
    </row>
    <row r="140" spans="1:10" x14ac:dyDescent="0.3">
      <c r="A140" s="60"/>
      <c r="B140" s="119"/>
      <c r="C140" s="130"/>
      <c r="D140" s="110"/>
      <c r="E140" s="110"/>
      <c r="F140" s="110"/>
      <c r="G140" s="119"/>
      <c r="H140" s="119"/>
      <c r="I140" s="60"/>
      <c r="J140" s="131"/>
    </row>
    <row r="141" spans="1:10" x14ac:dyDescent="0.3">
      <c r="A141" s="60"/>
      <c r="B141" s="119"/>
      <c r="C141" s="130"/>
      <c r="D141" s="110"/>
      <c r="E141" s="110"/>
      <c r="F141" s="110"/>
      <c r="G141" s="119"/>
      <c r="H141" s="119"/>
      <c r="I141" s="60"/>
      <c r="J141" s="131"/>
    </row>
    <row r="142" spans="1:10" x14ac:dyDescent="0.3">
      <c r="A142" s="60"/>
      <c r="B142" s="119"/>
      <c r="C142" s="130"/>
      <c r="D142" s="110"/>
      <c r="E142" s="110"/>
      <c r="F142" s="110"/>
      <c r="G142" s="119"/>
      <c r="H142" s="119"/>
      <c r="I142" s="60"/>
      <c r="J142" s="131"/>
    </row>
    <row r="143" spans="1:10" x14ac:dyDescent="0.3">
      <c r="A143" s="60"/>
      <c r="B143" s="119"/>
      <c r="C143" s="130"/>
      <c r="D143" s="110"/>
      <c r="E143" s="110"/>
      <c r="F143" s="110"/>
      <c r="G143" s="119"/>
      <c r="H143" s="119"/>
      <c r="I143" s="60"/>
      <c r="J143" s="131"/>
    </row>
    <row r="144" spans="1:10" x14ac:dyDescent="0.3">
      <c r="A144" s="60"/>
      <c r="B144" s="119"/>
      <c r="C144" s="130"/>
      <c r="D144" s="110"/>
      <c r="E144" s="110"/>
      <c r="F144" s="110"/>
      <c r="G144" s="119"/>
      <c r="H144" s="119"/>
      <c r="I144" s="60"/>
      <c r="J144" s="131"/>
    </row>
    <row r="145" spans="1:10" x14ac:dyDescent="0.3">
      <c r="A145" s="60"/>
      <c r="B145" s="139" t="s">
        <v>113</v>
      </c>
      <c r="C145" s="139"/>
      <c r="D145" s="139"/>
      <c r="E145" s="139"/>
      <c r="F145" s="139"/>
      <c r="G145" s="139"/>
      <c r="H145" s="139"/>
      <c r="I145" s="60"/>
      <c r="J145" s="131"/>
    </row>
    <row r="146" spans="1:10" x14ac:dyDescent="0.3">
      <c r="A146" s="60"/>
      <c r="B146" s="139" t="s">
        <v>280</v>
      </c>
      <c r="C146" s="139"/>
      <c r="D146" s="139"/>
      <c r="E146" s="139"/>
      <c r="F146" s="139"/>
      <c r="G146" s="139"/>
      <c r="H146" s="139"/>
      <c r="I146" s="60"/>
      <c r="J146" s="131"/>
    </row>
    <row r="147" spans="1:10" x14ac:dyDescent="0.3">
      <c r="A147" s="60"/>
      <c r="B147" s="139" t="s">
        <v>75</v>
      </c>
      <c r="C147" s="139"/>
      <c r="D147" s="139"/>
      <c r="E147" s="139"/>
      <c r="F147" s="139"/>
      <c r="G147" s="139"/>
      <c r="H147" s="139"/>
      <c r="I147" s="60"/>
      <c r="J147" s="131"/>
    </row>
    <row r="148" spans="1:10" x14ac:dyDescent="0.3">
      <c r="A148" s="60"/>
      <c r="B148" s="60"/>
      <c r="C148" s="60"/>
      <c r="D148" s="60"/>
      <c r="E148" s="60"/>
      <c r="F148" s="60"/>
      <c r="G148" s="60"/>
      <c r="H148" s="119"/>
      <c r="I148" s="60"/>
      <c r="J148" s="131"/>
    </row>
    <row r="149" spans="1:10" x14ac:dyDescent="0.3">
      <c r="A149" s="60"/>
      <c r="B149" s="65" t="s">
        <v>111</v>
      </c>
      <c r="C149" s="66" t="s">
        <v>112</v>
      </c>
      <c r="D149" s="66" t="s">
        <v>46</v>
      </c>
      <c r="E149" s="66" t="s">
        <v>47</v>
      </c>
      <c r="F149" s="66" t="s">
        <v>48</v>
      </c>
      <c r="G149" s="66" t="s">
        <v>49</v>
      </c>
      <c r="H149" s="117" t="s">
        <v>110</v>
      </c>
      <c r="I149" s="60"/>
      <c r="J149" s="131"/>
    </row>
    <row r="150" spans="1:10" x14ac:dyDescent="0.3">
      <c r="A150" s="60"/>
      <c r="B150" s="65"/>
      <c r="C150" s="66"/>
      <c r="D150" s="66"/>
      <c r="E150" s="66"/>
      <c r="F150" s="66"/>
      <c r="G150" s="66"/>
      <c r="H150" s="117"/>
      <c r="I150" s="60"/>
      <c r="J150" s="131"/>
    </row>
    <row r="151" spans="1:10" ht="14.4" customHeight="1" x14ac:dyDescent="0.3">
      <c r="A151" s="60"/>
      <c r="B151" s="61">
        <v>1</v>
      </c>
      <c r="C151" s="62" t="s">
        <v>271</v>
      </c>
      <c r="D151" s="136" t="s">
        <v>118</v>
      </c>
      <c r="E151" s="111" t="s">
        <v>115</v>
      </c>
      <c r="F151" s="111" t="s">
        <v>115</v>
      </c>
      <c r="G151" s="111" t="s">
        <v>115</v>
      </c>
      <c r="H151" s="111" t="s">
        <v>115</v>
      </c>
      <c r="I151" s="60"/>
      <c r="J151" s="131"/>
    </row>
    <row r="152" spans="1:10" ht="14.4" customHeight="1" x14ac:dyDescent="0.3">
      <c r="A152" s="60"/>
      <c r="B152" s="61">
        <v>2</v>
      </c>
      <c r="C152" s="62" t="s">
        <v>272</v>
      </c>
      <c r="D152" s="111" t="s">
        <v>196</v>
      </c>
      <c r="E152" s="111" t="s">
        <v>59</v>
      </c>
      <c r="F152" s="111" t="s">
        <v>193</v>
      </c>
      <c r="G152" s="111" t="s">
        <v>284</v>
      </c>
      <c r="H152" s="111" t="s">
        <v>58</v>
      </c>
      <c r="I152" s="60"/>
      <c r="J152" s="131"/>
    </row>
    <row r="153" spans="1:10" x14ac:dyDescent="0.3">
      <c r="A153" s="60"/>
      <c r="B153" s="61">
        <v>3</v>
      </c>
      <c r="C153" s="62" t="s">
        <v>273</v>
      </c>
      <c r="D153" s="111" t="s">
        <v>196</v>
      </c>
      <c r="E153" s="111" t="s">
        <v>59</v>
      </c>
      <c r="F153" s="111" t="s">
        <v>193</v>
      </c>
      <c r="G153" s="111" t="s">
        <v>284</v>
      </c>
      <c r="H153" s="111" t="s">
        <v>58</v>
      </c>
      <c r="I153" s="60"/>
      <c r="J153" s="131"/>
    </row>
    <row r="154" spans="1:10" x14ac:dyDescent="0.3">
      <c r="A154" s="60"/>
      <c r="B154" s="61">
        <v>4</v>
      </c>
      <c r="C154" s="62" t="s">
        <v>274</v>
      </c>
      <c r="D154" s="111" t="s">
        <v>58</v>
      </c>
      <c r="E154" s="111" t="s">
        <v>284</v>
      </c>
      <c r="F154" s="111" t="s">
        <v>59</v>
      </c>
      <c r="G154" s="111" t="s">
        <v>284</v>
      </c>
      <c r="H154" s="111" t="s">
        <v>59</v>
      </c>
      <c r="I154" s="60"/>
      <c r="J154" s="131"/>
    </row>
    <row r="155" spans="1:10" x14ac:dyDescent="0.3">
      <c r="A155" s="60"/>
      <c r="B155" s="61">
        <v>5</v>
      </c>
      <c r="C155" s="62" t="s">
        <v>275</v>
      </c>
      <c r="D155" s="111" t="s">
        <v>58</v>
      </c>
      <c r="E155" s="111" t="s">
        <v>284</v>
      </c>
      <c r="F155" s="111" t="s">
        <v>59</v>
      </c>
      <c r="G155" s="111" t="s">
        <v>195</v>
      </c>
      <c r="H155" s="111" t="s">
        <v>59</v>
      </c>
      <c r="I155" s="60"/>
      <c r="J155" s="131"/>
    </row>
    <row r="156" spans="1:10" x14ac:dyDescent="0.3">
      <c r="A156" s="60"/>
      <c r="B156" s="61">
        <v>6</v>
      </c>
      <c r="C156" s="63" t="s">
        <v>276</v>
      </c>
      <c r="D156" s="66" t="s">
        <v>114</v>
      </c>
      <c r="E156" s="66" t="s">
        <v>114</v>
      </c>
      <c r="F156" s="64" t="s">
        <v>114</v>
      </c>
      <c r="G156" s="64" t="s">
        <v>114</v>
      </c>
      <c r="H156" s="117" t="s">
        <v>114</v>
      </c>
      <c r="I156" s="60"/>
      <c r="J156" s="131"/>
    </row>
    <row r="157" spans="1:10" x14ac:dyDescent="0.3">
      <c r="A157" s="60"/>
      <c r="B157" s="61">
        <v>7</v>
      </c>
      <c r="C157" s="62" t="s">
        <v>210</v>
      </c>
      <c r="D157" s="111" t="s">
        <v>193</v>
      </c>
      <c r="E157" s="111" t="s">
        <v>284</v>
      </c>
      <c r="F157" s="111" t="s">
        <v>194</v>
      </c>
      <c r="G157" s="111" t="s">
        <v>195</v>
      </c>
      <c r="H157" s="111" t="s">
        <v>195</v>
      </c>
      <c r="I157" s="60"/>
      <c r="J157" s="131"/>
    </row>
    <row r="158" spans="1:10" x14ac:dyDescent="0.3">
      <c r="A158" s="60"/>
      <c r="B158" s="61">
        <v>8</v>
      </c>
      <c r="C158" s="62" t="s">
        <v>211</v>
      </c>
      <c r="D158" s="111" t="s">
        <v>193</v>
      </c>
      <c r="E158" s="111" t="s">
        <v>117</v>
      </c>
      <c r="F158" s="111" t="s">
        <v>194</v>
      </c>
      <c r="G158" s="111" t="s">
        <v>58</v>
      </c>
      <c r="H158" s="111" t="s">
        <v>195</v>
      </c>
      <c r="I158" s="60"/>
      <c r="J158" s="131"/>
    </row>
    <row r="159" spans="1:10" x14ac:dyDescent="0.3">
      <c r="A159" s="60"/>
      <c r="B159" s="61">
        <v>9</v>
      </c>
      <c r="C159" s="62" t="s">
        <v>212</v>
      </c>
      <c r="D159" s="111" t="s">
        <v>193</v>
      </c>
      <c r="E159" s="111" t="s">
        <v>117</v>
      </c>
      <c r="F159" s="111" t="s">
        <v>194</v>
      </c>
      <c r="G159" s="111" t="s">
        <v>58</v>
      </c>
      <c r="H159" s="128"/>
      <c r="I159" s="60"/>
      <c r="J159" s="131"/>
    </row>
    <row r="160" spans="1:10" x14ac:dyDescent="0.3">
      <c r="A160" s="60"/>
      <c r="B160" s="61">
        <v>10</v>
      </c>
      <c r="C160" s="62" t="s">
        <v>277</v>
      </c>
      <c r="D160" s="66" t="s">
        <v>114</v>
      </c>
      <c r="E160" s="66" t="s">
        <v>114</v>
      </c>
      <c r="F160" s="66" t="s">
        <v>114</v>
      </c>
      <c r="G160" s="66" t="s">
        <v>114</v>
      </c>
      <c r="H160" s="127"/>
      <c r="I160" s="60"/>
      <c r="J160" s="131"/>
    </row>
    <row r="161" spans="1:10" x14ac:dyDescent="0.3">
      <c r="A161" s="60"/>
      <c r="B161" s="61">
        <v>11</v>
      </c>
      <c r="C161" s="62" t="s">
        <v>278</v>
      </c>
      <c r="D161" s="118" t="s">
        <v>64</v>
      </c>
      <c r="E161" s="111" t="s">
        <v>117</v>
      </c>
      <c r="F161" s="111" t="s">
        <v>194</v>
      </c>
      <c r="G161" s="111" t="s">
        <v>58</v>
      </c>
      <c r="H161" s="127"/>
      <c r="I161" s="60"/>
      <c r="J161" s="131"/>
    </row>
    <row r="162" spans="1:10" x14ac:dyDescent="0.3">
      <c r="A162" s="60"/>
      <c r="B162" s="61">
        <v>12</v>
      </c>
      <c r="C162" s="62" t="s">
        <v>282</v>
      </c>
      <c r="D162" s="118" t="s">
        <v>64</v>
      </c>
      <c r="E162" s="111" t="s">
        <v>117</v>
      </c>
      <c r="F162" s="128"/>
      <c r="G162" s="128"/>
      <c r="H162" s="129"/>
      <c r="I162" s="60"/>
      <c r="J162" s="131"/>
    </row>
    <row r="163" spans="1:10" x14ac:dyDescent="0.3">
      <c r="A163" s="60"/>
      <c r="B163" s="60"/>
      <c r="C163" s="60"/>
      <c r="D163" s="60"/>
      <c r="E163" s="60"/>
      <c r="F163" s="60"/>
      <c r="G163" s="60"/>
      <c r="H163" s="119"/>
      <c r="I163" s="60"/>
      <c r="J163" s="131"/>
    </row>
    <row r="164" spans="1:10" x14ac:dyDescent="0.3">
      <c r="A164" s="60"/>
      <c r="B164" s="60"/>
      <c r="C164" s="60"/>
      <c r="D164" s="60"/>
      <c r="E164" s="60"/>
      <c r="F164" s="60"/>
      <c r="G164" s="60"/>
      <c r="H164" s="119"/>
      <c r="I164" s="60"/>
      <c r="J164" s="131"/>
    </row>
    <row r="165" spans="1:10" x14ac:dyDescent="0.3">
      <c r="A165" s="60"/>
      <c r="B165" s="60"/>
      <c r="C165" s="60"/>
      <c r="D165" s="60"/>
      <c r="E165" s="60"/>
      <c r="F165" s="60"/>
      <c r="G165" s="60"/>
      <c r="H165" s="119"/>
      <c r="I165" s="60"/>
      <c r="J165" s="131"/>
    </row>
    <row r="166" spans="1:10" x14ac:dyDescent="0.3">
      <c r="A166" s="60"/>
      <c r="B166" s="60"/>
      <c r="C166" s="60"/>
      <c r="D166" s="60"/>
      <c r="E166" s="60"/>
      <c r="F166" s="60"/>
      <c r="G166" s="60"/>
      <c r="H166" s="119"/>
      <c r="I166" s="60"/>
      <c r="J166" s="131"/>
    </row>
    <row r="167" spans="1:10" x14ac:dyDescent="0.3">
      <c r="A167" s="60"/>
      <c r="B167" s="139" t="s">
        <v>113</v>
      </c>
      <c r="C167" s="139"/>
      <c r="D167" s="139"/>
      <c r="E167" s="139"/>
      <c r="F167" s="139"/>
      <c r="G167" s="139"/>
      <c r="H167" s="139"/>
      <c r="I167" s="60"/>
      <c r="J167" s="131"/>
    </row>
    <row r="168" spans="1:10" x14ac:dyDescent="0.3">
      <c r="A168" s="60"/>
      <c r="B168" s="139" t="s">
        <v>280</v>
      </c>
      <c r="C168" s="139"/>
      <c r="D168" s="139"/>
      <c r="E168" s="139"/>
      <c r="F168" s="139"/>
      <c r="G168" s="139"/>
      <c r="H168" s="139"/>
      <c r="I168" s="60"/>
      <c r="J168" s="131"/>
    </row>
    <row r="169" spans="1:10" x14ac:dyDescent="0.3">
      <c r="A169" s="60"/>
      <c r="B169" s="139" t="s">
        <v>120</v>
      </c>
      <c r="C169" s="139"/>
      <c r="D169" s="139"/>
      <c r="E169" s="139"/>
      <c r="F169" s="139"/>
      <c r="G169" s="139"/>
      <c r="H169" s="139"/>
      <c r="I169" s="60"/>
      <c r="J169" s="131"/>
    </row>
    <row r="170" spans="1:10" x14ac:dyDescent="0.3">
      <c r="A170" s="60"/>
      <c r="B170" s="60"/>
      <c r="C170" s="60"/>
      <c r="D170" s="60"/>
      <c r="E170" s="60"/>
      <c r="F170" s="60"/>
      <c r="G170" s="60"/>
      <c r="H170" s="119"/>
      <c r="I170" s="60"/>
      <c r="J170" s="131"/>
    </row>
    <row r="171" spans="1:10" x14ac:dyDescent="0.3">
      <c r="A171" s="60"/>
      <c r="B171" s="65" t="s">
        <v>111</v>
      </c>
      <c r="C171" s="66" t="s">
        <v>112</v>
      </c>
      <c r="D171" s="66" t="s">
        <v>46</v>
      </c>
      <c r="E171" s="66" t="s">
        <v>47</v>
      </c>
      <c r="F171" s="66" t="s">
        <v>48</v>
      </c>
      <c r="G171" s="66" t="s">
        <v>49</v>
      </c>
      <c r="H171" s="117" t="s">
        <v>110</v>
      </c>
      <c r="I171" s="60"/>
      <c r="J171" s="131"/>
    </row>
    <row r="172" spans="1:10" x14ac:dyDescent="0.3">
      <c r="A172" s="60"/>
      <c r="B172" s="65"/>
      <c r="C172" s="66"/>
      <c r="D172" s="66"/>
      <c r="E172" s="66"/>
      <c r="F172" s="66"/>
      <c r="G172" s="66"/>
      <c r="H172" s="117"/>
      <c r="I172" s="60"/>
      <c r="J172" s="131"/>
    </row>
    <row r="173" spans="1:10" ht="14.4" customHeight="1" x14ac:dyDescent="0.3">
      <c r="A173" s="60"/>
      <c r="B173" s="61">
        <v>1</v>
      </c>
      <c r="C173" s="62" t="s">
        <v>271</v>
      </c>
      <c r="D173" s="269" t="s">
        <v>118</v>
      </c>
      <c r="E173" s="111" t="s">
        <v>115</v>
      </c>
      <c r="F173" s="111" t="s">
        <v>115</v>
      </c>
      <c r="G173" s="111" t="s">
        <v>115</v>
      </c>
      <c r="H173" s="111" t="s">
        <v>115</v>
      </c>
      <c r="I173" s="60"/>
      <c r="J173" s="131"/>
    </row>
    <row r="174" spans="1:10" ht="14.4" customHeight="1" x14ac:dyDescent="0.3">
      <c r="A174" s="60"/>
      <c r="B174" s="61">
        <v>2</v>
      </c>
      <c r="C174" s="62" t="s">
        <v>272</v>
      </c>
      <c r="D174" s="270"/>
      <c r="E174" s="111" t="s">
        <v>67</v>
      </c>
      <c r="F174" s="111" t="s">
        <v>288</v>
      </c>
      <c r="G174" s="111" t="s">
        <v>287</v>
      </c>
      <c r="H174" s="111" t="s">
        <v>68</v>
      </c>
      <c r="I174" s="60"/>
      <c r="J174" s="131"/>
    </row>
    <row r="175" spans="1:10" x14ac:dyDescent="0.3">
      <c r="A175" s="60"/>
      <c r="B175" s="61">
        <v>3</v>
      </c>
      <c r="C175" s="62" t="s">
        <v>273</v>
      </c>
      <c r="D175" s="111"/>
      <c r="E175" s="111" t="s">
        <v>67</v>
      </c>
      <c r="F175" s="111" t="s">
        <v>288</v>
      </c>
      <c r="G175" s="111" t="s">
        <v>287</v>
      </c>
      <c r="H175" s="111" t="s">
        <v>68</v>
      </c>
      <c r="I175" s="60"/>
      <c r="J175" s="131"/>
    </row>
    <row r="176" spans="1:10" x14ac:dyDescent="0.3">
      <c r="A176" s="60"/>
      <c r="B176" s="61">
        <v>4</v>
      </c>
      <c r="C176" s="62" t="s">
        <v>274</v>
      </c>
      <c r="D176" s="111"/>
      <c r="E176" s="111" t="s">
        <v>67</v>
      </c>
      <c r="F176" s="111" t="s">
        <v>288</v>
      </c>
      <c r="G176" s="111" t="s">
        <v>287</v>
      </c>
      <c r="H176" s="111" t="s">
        <v>68</v>
      </c>
      <c r="I176" s="60"/>
      <c r="J176" s="131"/>
    </row>
    <row r="177" spans="1:10" x14ac:dyDescent="0.3">
      <c r="A177" s="60"/>
      <c r="B177" s="61">
        <v>5</v>
      </c>
      <c r="C177" s="62" t="s">
        <v>275</v>
      </c>
      <c r="D177" s="111"/>
      <c r="E177" s="111" t="s">
        <v>67</v>
      </c>
      <c r="F177" s="111" t="s">
        <v>288</v>
      </c>
      <c r="G177" s="111" t="s">
        <v>287</v>
      </c>
      <c r="H177" s="111" t="s">
        <v>68</v>
      </c>
      <c r="I177" s="60"/>
      <c r="J177" s="131"/>
    </row>
    <row r="178" spans="1:10" x14ac:dyDescent="0.3">
      <c r="A178" s="60"/>
      <c r="B178" s="61">
        <v>6</v>
      </c>
      <c r="C178" s="63" t="s">
        <v>276</v>
      </c>
      <c r="D178" s="66" t="s">
        <v>114</v>
      </c>
      <c r="E178" s="66" t="s">
        <v>114</v>
      </c>
      <c r="F178" s="64" t="s">
        <v>114</v>
      </c>
      <c r="G178" s="64" t="s">
        <v>114</v>
      </c>
      <c r="H178" s="117" t="s">
        <v>114</v>
      </c>
      <c r="I178" s="60"/>
      <c r="J178" s="131"/>
    </row>
    <row r="179" spans="1:10" x14ac:dyDescent="0.3">
      <c r="A179" s="60"/>
      <c r="B179" s="61">
        <v>7</v>
      </c>
      <c r="C179" s="62" t="s">
        <v>210</v>
      </c>
      <c r="D179" s="111"/>
      <c r="E179" s="111"/>
      <c r="F179" s="111"/>
      <c r="G179" s="111" t="s">
        <v>289</v>
      </c>
      <c r="H179" s="111"/>
      <c r="I179" s="60"/>
      <c r="J179" s="131"/>
    </row>
    <row r="180" spans="1:10" x14ac:dyDescent="0.3">
      <c r="A180" s="60"/>
      <c r="B180" s="61">
        <v>8</v>
      </c>
      <c r="C180" s="62" t="s">
        <v>211</v>
      </c>
      <c r="D180" s="111" t="s">
        <v>290</v>
      </c>
      <c r="E180" s="111"/>
      <c r="F180" s="111" t="s">
        <v>71</v>
      </c>
      <c r="G180" s="111" t="s">
        <v>289</v>
      </c>
      <c r="H180" s="111"/>
      <c r="I180" s="60"/>
      <c r="J180" s="131"/>
    </row>
    <row r="181" spans="1:10" x14ac:dyDescent="0.3">
      <c r="A181" s="60"/>
      <c r="B181" s="61">
        <v>9</v>
      </c>
      <c r="C181" s="62" t="s">
        <v>212</v>
      </c>
      <c r="D181" s="111" t="s">
        <v>290</v>
      </c>
      <c r="E181" s="111" t="s">
        <v>70</v>
      </c>
      <c r="F181" s="111" t="s">
        <v>71</v>
      </c>
      <c r="G181" s="111" t="s">
        <v>289</v>
      </c>
      <c r="H181" s="128"/>
      <c r="I181" s="60"/>
      <c r="J181" s="131"/>
    </row>
    <row r="182" spans="1:10" x14ac:dyDescent="0.3">
      <c r="A182" s="60"/>
      <c r="B182" s="61">
        <v>10</v>
      </c>
      <c r="C182" s="62" t="s">
        <v>277</v>
      </c>
      <c r="D182" s="66" t="s">
        <v>114</v>
      </c>
      <c r="E182" s="66" t="s">
        <v>114</v>
      </c>
      <c r="F182" s="66" t="s">
        <v>114</v>
      </c>
      <c r="G182" s="66" t="s">
        <v>114</v>
      </c>
      <c r="H182" s="127"/>
      <c r="I182" s="60"/>
      <c r="J182" s="131"/>
    </row>
    <row r="183" spans="1:10" x14ac:dyDescent="0.3">
      <c r="A183" s="60"/>
      <c r="B183" s="61">
        <v>11</v>
      </c>
      <c r="C183" s="62" t="s">
        <v>278</v>
      </c>
      <c r="D183" s="111" t="s">
        <v>290</v>
      </c>
      <c r="E183" s="111" t="s">
        <v>70</v>
      </c>
      <c r="F183" s="111" t="s">
        <v>71</v>
      </c>
      <c r="G183" s="111" t="s">
        <v>289</v>
      </c>
      <c r="H183" s="127"/>
      <c r="I183" s="60"/>
      <c r="J183" s="131"/>
    </row>
    <row r="184" spans="1:10" x14ac:dyDescent="0.3">
      <c r="A184" s="60"/>
      <c r="B184" s="61">
        <v>12</v>
      </c>
      <c r="C184" s="62" t="s">
        <v>282</v>
      </c>
      <c r="D184" s="111" t="s">
        <v>290</v>
      </c>
      <c r="E184" s="111" t="s">
        <v>70</v>
      </c>
      <c r="F184" s="111" t="s">
        <v>71</v>
      </c>
      <c r="G184" s="111"/>
      <c r="H184" s="129"/>
      <c r="I184" s="60"/>
      <c r="J184" s="131"/>
    </row>
    <row r="185" spans="1:10" x14ac:dyDescent="0.3">
      <c r="A185" s="60"/>
      <c r="B185" s="61">
        <v>13</v>
      </c>
      <c r="C185" s="62" t="s">
        <v>283</v>
      </c>
      <c r="D185" s="132"/>
      <c r="E185" s="111" t="s">
        <v>70</v>
      </c>
      <c r="F185" s="111"/>
      <c r="G185" s="133"/>
      <c r="H185" s="129"/>
      <c r="I185" s="60"/>
      <c r="J185" s="131"/>
    </row>
    <row r="186" spans="1:10" x14ac:dyDescent="0.3">
      <c r="A186" s="60"/>
      <c r="B186" s="60"/>
      <c r="C186" s="60"/>
      <c r="D186" s="60"/>
      <c r="E186" s="60"/>
      <c r="F186" s="60"/>
      <c r="G186" s="60"/>
      <c r="H186" s="119"/>
      <c r="I186" s="60"/>
      <c r="J186" s="131"/>
    </row>
    <row r="187" spans="1:10" x14ac:dyDescent="0.3">
      <c r="A187" s="60"/>
      <c r="B187" s="60"/>
      <c r="C187" s="60"/>
      <c r="D187" s="60"/>
      <c r="E187" s="60"/>
      <c r="F187" s="60"/>
      <c r="G187" s="60"/>
      <c r="H187" s="119"/>
      <c r="I187" s="60"/>
      <c r="J187" s="131"/>
    </row>
    <row r="188" spans="1:10" x14ac:dyDescent="0.3">
      <c r="A188" s="60"/>
      <c r="B188" s="139" t="s">
        <v>113</v>
      </c>
      <c r="C188" s="139"/>
      <c r="D188" s="139"/>
      <c r="E188" s="139"/>
      <c r="F188" s="139"/>
      <c r="G188" s="139"/>
      <c r="H188" s="139"/>
      <c r="I188" s="60"/>
      <c r="J188" s="131"/>
    </row>
    <row r="189" spans="1:10" x14ac:dyDescent="0.3">
      <c r="A189" s="60"/>
      <c r="B189" s="139" t="s">
        <v>280</v>
      </c>
      <c r="C189" s="139"/>
      <c r="D189" s="139"/>
      <c r="E189" s="139"/>
      <c r="F189" s="139"/>
      <c r="G189" s="139"/>
      <c r="H189" s="139"/>
      <c r="I189" s="60"/>
      <c r="J189" s="131"/>
    </row>
    <row r="190" spans="1:10" x14ac:dyDescent="0.3">
      <c r="A190" s="60"/>
      <c r="B190" s="139" t="s">
        <v>121</v>
      </c>
      <c r="C190" s="139"/>
      <c r="D190" s="139"/>
      <c r="E190" s="139"/>
      <c r="F190" s="139"/>
      <c r="G190" s="139"/>
      <c r="H190" s="139"/>
      <c r="I190" s="60"/>
      <c r="J190" s="131"/>
    </row>
    <row r="191" spans="1:10" x14ac:dyDescent="0.3">
      <c r="A191" s="60"/>
      <c r="B191" s="60"/>
      <c r="C191" s="60"/>
      <c r="D191" s="60"/>
      <c r="E191" s="60"/>
      <c r="F191" s="60"/>
      <c r="G191" s="60"/>
      <c r="H191" s="119"/>
      <c r="I191" s="60"/>
      <c r="J191" s="131"/>
    </row>
    <row r="192" spans="1:10" x14ac:dyDescent="0.3">
      <c r="A192" s="60"/>
      <c r="B192" s="65" t="s">
        <v>111</v>
      </c>
      <c r="C192" s="66" t="s">
        <v>112</v>
      </c>
      <c r="D192" s="66" t="s">
        <v>46</v>
      </c>
      <c r="E192" s="66" t="s">
        <v>47</v>
      </c>
      <c r="F192" s="66" t="s">
        <v>48</v>
      </c>
      <c r="G192" s="66" t="s">
        <v>49</v>
      </c>
      <c r="H192" s="117" t="s">
        <v>110</v>
      </c>
      <c r="I192" s="60"/>
      <c r="J192" s="131"/>
    </row>
    <row r="193" spans="1:10" x14ac:dyDescent="0.3">
      <c r="A193" s="60"/>
      <c r="B193" s="65"/>
      <c r="C193" s="66"/>
      <c r="D193" s="66"/>
      <c r="E193" s="66"/>
      <c r="F193" s="66"/>
      <c r="G193" s="66"/>
      <c r="H193" s="117"/>
      <c r="I193" s="60"/>
      <c r="J193" s="131"/>
    </row>
    <row r="194" spans="1:10" ht="14.4" customHeight="1" x14ac:dyDescent="0.3">
      <c r="A194" s="60"/>
      <c r="B194" s="61">
        <v>1</v>
      </c>
      <c r="C194" s="62" t="s">
        <v>271</v>
      </c>
      <c r="D194" s="269" t="s">
        <v>118</v>
      </c>
      <c r="E194" s="111" t="s">
        <v>115</v>
      </c>
      <c r="F194" s="111" t="s">
        <v>115</v>
      </c>
      <c r="G194" s="111" t="s">
        <v>115</v>
      </c>
      <c r="H194" s="111" t="s">
        <v>115</v>
      </c>
      <c r="I194" s="60"/>
      <c r="J194" s="131"/>
    </row>
    <row r="195" spans="1:10" ht="14.4" customHeight="1" x14ac:dyDescent="0.3">
      <c r="A195" s="60"/>
      <c r="B195" s="61">
        <v>2</v>
      </c>
      <c r="C195" s="62" t="s">
        <v>272</v>
      </c>
      <c r="D195" s="270"/>
      <c r="E195" s="111" t="s">
        <v>68</v>
      </c>
      <c r="F195" s="111" t="s">
        <v>287</v>
      </c>
      <c r="G195" s="111" t="s">
        <v>288</v>
      </c>
      <c r="H195" s="111" t="s">
        <v>67</v>
      </c>
      <c r="I195" s="60"/>
      <c r="J195" s="131"/>
    </row>
    <row r="196" spans="1:10" x14ac:dyDescent="0.3">
      <c r="A196" s="60"/>
      <c r="B196" s="61">
        <v>3</v>
      </c>
      <c r="C196" s="62" t="s">
        <v>273</v>
      </c>
      <c r="D196" s="111"/>
      <c r="E196" s="111" t="s">
        <v>68</v>
      </c>
      <c r="F196" s="111" t="s">
        <v>287</v>
      </c>
      <c r="G196" s="111" t="s">
        <v>288</v>
      </c>
      <c r="H196" s="111" t="s">
        <v>67</v>
      </c>
      <c r="I196" s="60"/>
      <c r="J196" s="131"/>
    </row>
    <row r="197" spans="1:10" x14ac:dyDescent="0.3">
      <c r="A197" s="60"/>
      <c r="B197" s="61">
        <v>4</v>
      </c>
      <c r="C197" s="62" t="s">
        <v>274</v>
      </c>
      <c r="D197" s="111"/>
      <c r="E197" s="111" t="s">
        <v>68</v>
      </c>
      <c r="F197" s="111" t="s">
        <v>287</v>
      </c>
      <c r="G197" s="111" t="s">
        <v>288</v>
      </c>
      <c r="H197" s="111" t="s">
        <v>67</v>
      </c>
      <c r="I197" s="60"/>
      <c r="J197" s="131"/>
    </row>
    <row r="198" spans="1:10" x14ac:dyDescent="0.3">
      <c r="A198" s="60"/>
      <c r="B198" s="61">
        <v>5</v>
      </c>
      <c r="C198" s="62" t="s">
        <v>275</v>
      </c>
      <c r="D198" s="111"/>
      <c r="E198" s="111" t="s">
        <v>68</v>
      </c>
      <c r="F198" s="111" t="s">
        <v>287</v>
      </c>
      <c r="G198" s="111" t="s">
        <v>288</v>
      </c>
      <c r="H198" s="111" t="s">
        <v>67</v>
      </c>
      <c r="I198" s="60"/>
      <c r="J198" s="131"/>
    </row>
    <row r="199" spans="1:10" x14ac:dyDescent="0.3">
      <c r="A199" s="60"/>
      <c r="B199" s="61">
        <v>6</v>
      </c>
      <c r="C199" s="63" t="s">
        <v>276</v>
      </c>
      <c r="D199" s="66" t="s">
        <v>114</v>
      </c>
      <c r="E199" s="66" t="s">
        <v>114</v>
      </c>
      <c r="F199" s="64" t="s">
        <v>114</v>
      </c>
      <c r="G199" s="64" t="s">
        <v>114</v>
      </c>
      <c r="H199" s="117" t="s">
        <v>114</v>
      </c>
      <c r="I199" s="60"/>
      <c r="J199" s="131"/>
    </row>
    <row r="200" spans="1:10" x14ac:dyDescent="0.3">
      <c r="A200" s="60"/>
      <c r="B200" s="61">
        <v>7</v>
      </c>
      <c r="C200" s="62" t="s">
        <v>210</v>
      </c>
      <c r="D200" s="111"/>
      <c r="E200" s="111"/>
      <c r="F200" s="111" t="s">
        <v>70</v>
      </c>
      <c r="G200" s="111" t="s">
        <v>290</v>
      </c>
      <c r="H200" s="111"/>
      <c r="I200" s="60"/>
      <c r="J200" s="131"/>
    </row>
    <row r="201" spans="1:10" x14ac:dyDescent="0.3">
      <c r="A201" s="60"/>
      <c r="B201" s="61">
        <v>8</v>
      </c>
      <c r="C201" s="62" t="s">
        <v>211</v>
      </c>
      <c r="D201" s="111" t="s">
        <v>289</v>
      </c>
      <c r="E201" s="111" t="s">
        <v>71</v>
      </c>
      <c r="F201" s="111" t="s">
        <v>70</v>
      </c>
      <c r="G201" s="111" t="s">
        <v>290</v>
      </c>
      <c r="H201" s="111"/>
      <c r="I201" s="60"/>
      <c r="J201" s="131"/>
    </row>
    <row r="202" spans="1:10" x14ac:dyDescent="0.3">
      <c r="A202" s="60"/>
      <c r="B202" s="61">
        <v>9</v>
      </c>
      <c r="C202" s="62" t="s">
        <v>212</v>
      </c>
      <c r="D202" s="111" t="s">
        <v>289</v>
      </c>
      <c r="E202" s="111" t="s">
        <v>71</v>
      </c>
      <c r="F202" s="111" t="s">
        <v>70</v>
      </c>
      <c r="G202" s="111" t="s">
        <v>290</v>
      </c>
      <c r="H202" s="128"/>
      <c r="I202" s="60"/>
      <c r="J202" s="131"/>
    </row>
    <row r="203" spans="1:10" x14ac:dyDescent="0.3">
      <c r="A203" s="60"/>
      <c r="B203" s="61">
        <v>10</v>
      </c>
      <c r="C203" s="62" t="s">
        <v>277</v>
      </c>
      <c r="D203" s="66" t="s">
        <v>114</v>
      </c>
      <c r="E203" s="66" t="s">
        <v>114</v>
      </c>
      <c r="F203" s="66" t="s">
        <v>114</v>
      </c>
      <c r="G203" s="66" t="s">
        <v>114</v>
      </c>
      <c r="H203" s="127"/>
      <c r="I203" s="60"/>
      <c r="J203" s="131"/>
    </row>
    <row r="204" spans="1:10" x14ac:dyDescent="0.3">
      <c r="A204" s="60"/>
      <c r="B204" s="61">
        <v>11</v>
      </c>
      <c r="C204" s="62" t="s">
        <v>278</v>
      </c>
      <c r="D204" s="111" t="s">
        <v>289</v>
      </c>
      <c r="E204" s="111" t="s">
        <v>71</v>
      </c>
      <c r="F204" s="111" t="s">
        <v>70</v>
      </c>
      <c r="G204" s="111" t="s">
        <v>290</v>
      </c>
      <c r="H204" s="127"/>
      <c r="I204" s="60"/>
      <c r="J204" s="131"/>
    </row>
    <row r="205" spans="1:10" x14ac:dyDescent="0.3">
      <c r="A205" s="60"/>
      <c r="B205" s="61">
        <v>12</v>
      </c>
      <c r="C205" s="62" t="s">
        <v>282</v>
      </c>
      <c r="D205" s="111" t="s">
        <v>289</v>
      </c>
      <c r="E205" s="111" t="s">
        <v>71</v>
      </c>
      <c r="F205" s="111"/>
      <c r="G205" s="111"/>
      <c r="H205" s="129"/>
      <c r="I205" s="60"/>
      <c r="J205" s="131"/>
    </row>
    <row r="206" spans="1:10" x14ac:dyDescent="0.3">
      <c r="A206" s="60"/>
      <c r="B206" s="61">
        <v>13</v>
      </c>
      <c r="C206" s="62" t="s">
        <v>283</v>
      </c>
      <c r="D206" s="132"/>
      <c r="E206" s="111"/>
      <c r="F206" s="111"/>
      <c r="G206" s="133"/>
      <c r="H206" s="129"/>
      <c r="I206" s="60"/>
      <c r="J206" s="131"/>
    </row>
    <row r="207" spans="1:10" x14ac:dyDescent="0.3">
      <c r="A207" s="60"/>
      <c r="B207" s="60"/>
      <c r="C207" s="60"/>
      <c r="D207" s="60"/>
      <c r="E207" s="60"/>
      <c r="F207" s="60"/>
      <c r="G207" s="60"/>
      <c r="H207" s="119"/>
      <c r="I207" s="60"/>
      <c r="J207" s="131"/>
    </row>
    <row r="208" spans="1:10" x14ac:dyDescent="0.3">
      <c r="A208" s="60"/>
      <c r="B208" s="60"/>
      <c r="C208" s="60"/>
      <c r="D208" s="60"/>
      <c r="E208" s="60"/>
      <c r="F208" s="60"/>
      <c r="G208" s="60"/>
      <c r="H208" s="119"/>
      <c r="I208" s="60"/>
      <c r="J208" s="60"/>
    </row>
    <row r="209" spans="1:10" x14ac:dyDescent="0.3">
      <c r="A209" s="60"/>
      <c r="B209" s="60"/>
      <c r="C209" s="60"/>
      <c r="D209" s="60"/>
      <c r="E209" s="60"/>
      <c r="F209" s="60"/>
      <c r="G209" s="60"/>
      <c r="H209" s="119"/>
      <c r="I209" s="60"/>
      <c r="J209" s="60"/>
    </row>
  </sheetData>
  <mergeCells count="33">
    <mergeCell ref="B40:H40"/>
    <mergeCell ref="B1:H1"/>
    <mergeCell ref="B3:H3"/>
    <mergeCell ref="B4:H4"/>
    <mergeCell ref="B5:H5"/>
    <mergeCell ref="B20:H20"/>
    <mergeCell ref="B21:H21"/>
    <mergeCell ref="B22:H22"/>
    <mergeCell ref="B38:H38"/>
    <mergeCell ref="B39:H39"/>
    <mergeCell ref="B99:H99"/>
    <mergeCell ref="B56:H56"/>
    <mergeCell ref="B57:H57"/>
    <mergeCell ref="B58:H58"/>
    <mergeCell ref="B77:H77"/>
    <mergeCell ref="B78:H78"/>
    <mergeCell ref="B79:H79"/>
    <mergeCell ref="B97:H97"/>
    <mergeCell ref="B98:H98"/>
    <mergeCell ref="B169:H169"/>
    <mergeCell ref="B121:H121"/>
    <mergeCell ref="B122:H122"/>
    <mergeCell ref="B123:H123"/>
    <mergeCell ref="B145:H145"/>
    <mergeCell ref="B146:H146"/>
    <mergeCell ref="B147:H147"/>
    <mergeCell ref="B167:H167"/>
    <mergeCell ref="B168:H168"/>
    <mergeCell ref="D173:D174"/>
    <mergeCell ref="B188:H188"/>
    <mergeCell ref="B189:H189"/>
    <mergeCell ref="B190:H190"/>
    <mergeCell ref="D194:D19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F8AD-36EC-4508-87FC-C26E520DAF0D}">
  <dimension ref="B1:U39"/>
  <sheetViews>
    <sheetView topLeftCell="A15" workbookViewId="0">
      <selection activeCell="D36" sqref="D36"/>
    </sheetView>
  </sheetViews>
  <sheetFormatPr defaultRowHeight="14.4" x14ac:dyDescent="0.3"/>
  <cols>
    <col min="1" max="1" width="3.5546875" customWidth="1"/>
    <col min="2" max="2" width="5.33203125" customWidth="1"/>
    <col min="3" max="3" width="27.33203125" customWidth="1"/>
    <col min="4" max="4" width="3.5546875" customWidth="1"/>
    <col min="5" max="5" width="5.88671875" customWidth="1"/>
    <col min="6" max="6" width="3.88671875" customWidth="1"/>
    <col min="7" max="7" width="5.77734375" customWidth="1"/>
    <col min="8" max="8" width="3.77734375" customWidth="1"/>
    <col min="9" max="9" width="5.6640625" customWidth="1"/>
    <col min="10" max="10" width="3.77734375" customWidth="1"/>
    <col min="11" max="11" width="5.6640625" customWidth="1"/>
    <col min="12" max="12" width="3.77734375" customWidth="1"/>
    <col min="13" max="13" width="5.6640625" customWidth="1"/>
    <col min="14" max="14" width="3.21875" hidden="1" customWidth="1"/>
    <col min="15" max="15" width="6.44140625" hidden="1" customWidth="1"/>
    <col min="16" max="16" width="11" customWidth="1"/>
  </cols>
  <sheetData>
    <row r="1" spans="2:21" x14ac:dyDescent="0.3">
      <c r="B1" s="170" t="s">
        <v>188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2:21" x14ac:dyDescent="0.3">
      <c r="B2" s="170" t="s">
        <v>297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</row>
    <row r="3" spans="2:21" x14ac:dyDescent="0.3">
      <c r="B3" s="170" t="s">
        <v>298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</row>
    <row r="5" spans="2:21" x14ac:dyDescent="0.3">
      <c r="B5" s="272" t="s">
        <v>190</v>
      </c>
      <c r="C5" s="272" t="s">
        <v>189</v>
      </c>
      <c r="D5" s="280" t="s">
        <v>46</v>
      </c>
      <c r="E5" s="281"/>
      <c r="F5" s="274" t="s">
        <v>47</v>
      </c>
      <c r="G5" s="275"/>
      <c r="H5" s="274" t="s">
        <v>187</v>
      </c>
      <c r="I5" s="275"/>
      <c r="J5" s="274" t="s">
        <v>49</v>
      </c>
      <c r="K5" s="275"/>
      <c r="L5" s="274" t="s">
        <v>110</v>
      </c>
      <c r="M5" s="275"/>
      <c r="N5" s="274" t="s">
        <v>51</v>
      </c>
      <c r="O5" s="275"/>
      <c r="P5" s="278" t="s">
        <v>191</v>
      </c>
    </row>
    <row r="6" spans="2:21" x14ac:dyDescent="0.3">
      <c r="B6" s="273"/>
      <c r="C6" s="273"/>
      <c r="D6" s="282">
        <f>'H. Efektif'!D31-3</f>
        <v>15</v>
      </c>
      <c r="E6" s="282"/>
      <c r="F6" s="276">
        <f>'H. Efektif'!E31-3</f>
        <v>15</v>
      </c>
      <c r="G6" s="277"/>
      <c r="H6" s="276">
        <f>'H. Efektif'!F31-3</f>
        <v>16</v>
      </c>
      <c r="I6" s="277"/>
      <c r="J6" s="276">
        <f>'H. Efektif'!G31-3</f>
        <v>15</v>
      </c>
      <c r="K6" s="277"/>
      <c r="L6" s="276">
        <f>'H. Efektif'!H31-3</f>
        <v>16</v>
      </c>
      <c r="M6" s="277"/>
      <c r="N6" s="276">
        <f>'H. Efektif'!I31</f>
        <v>0</v>
      </c>
      <c r="O6" s="277"/>
      <c r="P6" s="279"/>
    </row>
    <row r="7" spans="2:21" ht="9" customHeight="1" x14ac:dyDescent="0.3">
      <c r="B7" s="56"/>
      <c r="C7" s="56"/>
      <c r="D7" s="274"/>
      <c r="E7" s="275"/>
      <c r="F7" s="274"/>
      <c r="G7" s="275"/>
      <c r="H7" s="274"/>
      <c r="I7" s="275"/>
      <c r="J7" s="274"/>
      <c r="K7" s="275"/>
      <c r="L7" s="274"/>
      <c r="M7" s="275"/>
      <c r="N7" s="274"/>
      <c r="O7" s="275"/>
      <c r="P7" s="56"/>
    </row>
    <row r="8" spans="2:21" ht="24" customHeight="1" x14ac:dyDescent="0.3">
      <c r="B8" s="56">
        <v>1</v>
      </c>
      <c r="C8" s="56" t="s">
        <v>197</v>
      </c>
      <c r="D8" s="56"/>
      <c r="E8" s="56">
        <f>D8*D6</f>
        <v>0</v>
      </c>
      <c r="F8" s="56"/>
      <c r="G8" s="56">
        <f>F8*F6</f>
        <v>0</v>
      </c>
      <c r="H8" s="56"/>
      <c r="I8" s="56">
        <f>H8*H6</f>
        <v>0</v>
      </c>
      <c r="J8" s="56"/>
      <c r="K8" s="56">
        <f>J8*J6</f>
        <v>0</v>
      </c>
      <c r="L8" s="56"/>
      <c r="M8" s="56">
        <f>L8*L6</f>
        <v>0</v>
      </c>
      <c r="N8" s="56"/>
      <c r="O8" s="56">
        <f>N8*N6</f>
        <v>0</v>
      </c>
      <c r="P8" s="56">
        <f>E8+G8+I8+K8+M8+O8</f>
        <v>0</v>
      </c>
      <c r="T8">
        <v>1</v>
      </c>
      <c r="U8">
        <v>14</v>
      </c>
    </row>
    <row r="9" spans="2:21" ht="24" customHeight="1" x14ac:dyDescent="0.3">
      <c r="B9" s="56">
        <v>2</v>
      </c>
      <c r="C9" s="56" t="s">
        <v>193</v>
      </c>
      <c r="D9" s="56"/>
      <c r="E9" s="56">
        <f>D9*D6</f>
        <v>0</v>
      </c>
      <c r="F9" s="56"/>
      <c r="G9" s="56">
        <f>F9*F6</f>
        <v>0</v>
      </c>
      <c r="H9" s="56"/>
      <c r="I9" s="56">
        <f>H9*H6</f>
        <v>0</v>
      </c>
      <c r="J9" s="56"/>
      <c r="K9" s="56">
        <f>J9*J6</f>
        <v>0</v>
      </c>
      <c r="L9" s="56"/>
      <c r="M9" s="56">
        <f>L9*L6</f>
        <v>0</v>
      </c>
      <c r="N9" s="56"/>
      <c r="O9" s="56">
        <f>N9*N6</f>
        <v>0</v>
      </c>
      <c r="P9" s="56">
        <f t="shared" ref="P9:P17" si="0">E9+G9+I9+K9+M9+O9</f>
        <v>0</v>
      </c>
      <c r="R9">
        <f>P9-12</f>
        <v>-12</v>
      </c>
      <c r="T9">
        <v>2</v>
      </c>
      <c r="U9">
        <v>14</v>
      </c>
    </row>
    <row r="10" spans="2:21" ht="24" customHeight="1" x14ac:dyDescent="0.3">
      <c r="B10" s="56">
        <v>3</v>
      </c>
      <c r="C10" s="56" t="s">
        <v>198</v>
      </c>
      <c r="D10" s="56"/>
      <c r="E10" s="56">
        <f>D10*D6</f>
        <v>0</v>
      </c>
      <c r="F10" s="56"/>
      <c r="G10" s="56">
        <f>F10*F6</f>
        <v>0</v>
      </c>
      <c r="H10" s="56"/>
      <c r="I10" s="56">
        <f>H10*H6</f>
        <v>0</v>
      </c>
      <c r="J10" s="56"/>
      <c r="K10" s="56">
        <f>J10*J6</f>
        <v>0</v>
      </c>
      <c r="L10" s="56"/>
      <c r="M10" s="56">
        <f>L10*L6</f>
        <v>0</v>
      </c>
      <c r="N10" s="56"/>
      <c r="O10" s="56">
        <f>N10*N6</f>
        <v>0</v>
      </c>
      <c r="P10" s="56">
        <f t="shared" si="0"/>
        <v>0</v>
      </c>
      <c r="T10">
        <v>3</v>
      </c>
      <c r="U10">
        <v>14</v>
      </c>
    </row>
    <row r="11" spans="2:21" ht="24" customHeight="1" x14ac:dyDescent="0.3">
      <c r="B11" s="56">
        <v>4</v>
      </c>
      <c r="C11" s="56" t="s">
        <v>59</v>
      </c>
      <c r="D11" s="56"/>
      <c r="E11" s="56">
        <f>D11*D6</f>
        <v>0</v>
      </c>
      <c r="F11" s="56"/>
      <c r="G11" s="56">
        <f>F11*F6</f>
        <v>0</v>
      </c>
      <c r="H11" s="56"/>
      <c r="I11" s="56">
        <f>H11*H6</f>
        <v>0</v>
      </c>
      <c r="J11" s="56"/>
      <c r="K11" s="56">
        <f>J11*J6</f>
        <v>0</v>
      </c>
      <c r="L11" s="56"/>
      <c r="M11" s="56">
        <f>L11*L6</f>
        <v>0</v>
      </c>
      <c r="N11" s="56"/>
      <c r="O11" s="56">
        <f>N11*N6</f>
        <v>0</v>
      </c>
      <c r="P11" s="56">
        <f t="shared" si="0"/>
        <v>0</v>
      </c>
      <c r="T11">
        <v>4</v>
      </c>
      <c r="U11">
        <v>12</v>
      </c>
    </row>
    <row r="12" spans="2:21" ht="24" customHeight="1" x14ac:dyDescent="0.3">
      <c r="B12" s="56">
        <v>5</v>
      </c>
      <c r="C12" s="56" t="s">
        <v>199</v>
      </c>
      <c r="D12" s="56"/>
      <c r="E12" s="56">
        <f>D12*D6</f>
        <v>0</v>
      </c>
      <c r="F12" s="56"/>
      <c r="G12" s="56">
        <f>F12*F6</f>
        <v>0</v>
      </c>
      <c r="H12" s="56"/>
      <c r="I12" s="56">
        <f>H12*H6</f>
        <v>0</v>
      </c>
      <c r="J12" s="56"/>
      <c r="K12" s="56">
        <f>J12*J6</f>
        <v>0</v>
      </c>
      <c r="L12" s="56"/>
      <c r="M12" s="56">
        <f>L12*L6</f>
        <v>0</v>
      </c>
      <c r="N12" s="56"/>
      <c r="O12" s="56">
        <f>N12*N6</f>
        <v>0</v>
      </c>
      <c r="P12" s="56">
        <f t="shared" si="0"/>
        <v>0</v>
      </c>
    </row>
    <row r="13" spans="2:21" ht="24" customHeight="1" x14ac:dyDescent="0.3">
      <c r="B13" s="56">
        <v>6</v>
      </c>
      <c r="C13" s="56" t="s">
        <v>200</v>
      </c>
      <c r="D13" s="56"/>
      <c r="E13" s="56">
        <f>D13*D6</f>
        <v>0</v>
      </c>
      <c r="F13" s="56"/>
      <c r="G13" s="56">
        <f>F13*F6</f>
        <v>0</v>
      </c>
      <c r="H13" s="56"/>
      <c r="I13" s="56">
        <f>H13*H6</f>
        <v>0</v>
      </c>
      <c r="J13" s="56"/>
      <c r="K13" s="56">
        <f>J13*J6</f>
        <v>0</v>
      </c>
      <c r="L13" s="56"/>
      <c r="M13" s="56">
        <f>L13*L6</f>
        <v>0</v>
      </c>
      <c r="N13" s="56"/>
      <c r="O13" s="56">
        <f>N13*N6</f>
        <v>0</v>
      </c>
      <c r="P13" s="56">
        <f t="shared" si="0"/>
        <v>0</v>
      </c>
      <c r="U13">
        <f>SUM(U8:U12)</f>
        <v>54</v>
      </c>
    </row>
    <row r="14" spans="2:21" ht="24" customHeight="1" x14ac:dyDescent="0.3">
      <c r="B14" s="56">
        <v>7</v>
      </c>
      <c r="C14" s="56" t="s">
        <v>62</v>
      </c>
      <c r="D14" s="56"/>
      <c r="E14" s="56">
        <f>D14*D6</f>
        <v>0</v>
      </c>
      <c r="F14" s="56"/>
      <c r="G14" s="56">
        <f>F14*F6</f>
        <v>0</v>
      </c>
      <c r="H14" s="56"/>
      <c r="I14" s="56">
        <f>H14*H6</f>
        <v>0</v>
      </c>
      <c r="J14" s="56"/>
      <c r="K14" s="56">
        <f>J14*J6</f>
        <v>0</v>
      </c>
      <c r="L14" s="56"/>
      <c r="M14" s="56">
        <f>L14*L6</f>
        <v>0</v>
      </c>
      <c r="N14" s="56"/>
      <c r="O14" s="56">
        <f>N14*N6</f>
        <v>0</v>
      </c>
      <c r="P14" s="56">
        <f t="shared" si="0"/>
        <v>0</v>
      </c>
    </row>
    <row r="15" spans="2:21" ht="24" customHeight="1" x14ac:dyDescent="0.3">
      <c r="B15" s="56">
        <v>8</v>
      </c>
      <c r="C15" s="56" t="s">
        <v>201</v>
      </c>
      <c r="D15" s="56"/>
      <c r="E15" s="56">
        <f>D15*D6</f>
        <v>0</v>
      </c>
      <c r="F15" s="56"/>
      <c r="G15" s="56">
        <f>F15*F6</f>
        <v>0</v>
      </c>
      <c r="H15" s="56"/>
      <c r="I15" s="56">
        <f>H15*H6</f>
        <v>0</v>
      </c>
      <c r="J15" s="56"/>
      <c r="K15" s="56">
        <f>J15*J6</f>
        <v>0</v>
      </c>
      <c r="L15" s="56"/>
      <c r="M15" s="56">
        <f>L15*L6</f>
        <v>0</v>
      </c>
      <c r="N15" s="56"/>
      <c r="O15" s="56">
        <f>N15*N6</f>
        <v>0</v>
      </c>
      <c r="P15" s="56">
        <f t="shared" si="0"/>
        <v>0</v>
      </c>
    </row>
    <row r="16" spans="2:21" ht="24" customHeight="1" x14ac:dyDescent="0.3">
      <c r="B16" s="56">
        <v>9</v>
      </c>
      <c r="C16" s="56"/>
      <c r="D16" s="56"/>
      <c r="E16" s="56">
        <f>D16*D6</f>
        <v>0</v>
      </c>
      <c r="F16" s="56"/>
      <c r="G16" s="56">
        <f>F16*F6</f>
        <v>0</v>
      </c>
      <c r="H16" s="56"/>
      <c r="I16" s="56">
        <f>H16*H6</f>
        <v>0</v>
      </c>
      <c r="J16" s="56"/>
      <c r="K16" s="56">
        <f>J16*J6</f>
        <v>0</v>
      </c>
      <c r="L16" s="56"/>
      <c r="M16" s="56">
        <f>L16*L6</f>
        <v>0</v>
      </c>
      <c r="N16" s="56"/>
      <c r="O16" s="56">
        <f>N16*N6</f>
        <v>0</v>
      </c>
      <c r="P16" s="56">
        <f t="shared" si="0"/>
        <v>0</v>
      </c>
    </row>
    <row r="17" spans="2:16" ht="24" customHeight="1" x14ac:dyDescent="0.3">
      <c r="B17" s="56">
        <v>10</v>
      </c>
      <c r="C17" s="56"/>
      <c r="D17" s="56"/>
      <c r="E17" s="56">
        <f>D17*D6</f>
        <v>0</v>
      </c>
      <c r="F17" s="56"/>
      <c r="G17" s="56">
        <f>F17*F6</f>
        <v>0</v>
      </c>
      <c r="H17" s="56"/>
      <c r="I17" s="56">
        <f>H17*H6</f>
        <v>0</v>
      </c>
      <c r="J17" s="56"/>
      <c r="K17" s="56">
        <f>J17*J6</f>
        <v>0</v>
      </c>
      <c r="L17" s="56"/>
      <c r="M17" s="56">
        <f>L17*L6</f>
        <v>0</v>
      </c>
      <c r="N17" s="56"/>
      <c r="O17" s="56">
        <f>N17*N6</f>
        <v>0</v>
      </c>
      <c r="P17" s="56">
        <f t="shared" si="0"/>
        <v>0</v>
      </c>
    </row>
    <row r="23" spans="2:16" x14ac:dyDescent="0.3">
      <c r="B23" s="170" t="s">
        <v>188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</row>
    <row r="24" spans="2:16" x14ac:dyDescent="0.3">
      <c r="B24" s="170" t="s">
        <v>296</v>
      </c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</row>
    <row r="25" spans="2:16" x14ac:dyDescent="0.3">
      <c r="B25" s="170" t="s">
        <v>202</v>
      </c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</row>
    <row r="27" spans="2:16" ht="14.4" customHeight="1" x14ac:dyDescent="0.3">
      <c r="B27" s="272" t="s">
        <v>190</v>
      </c>
      <c r="C27" s="272" t="s">
        <v>189</v>
      </c>
      <c r="D27" s="274" t="s">
        <v>46</v>
      </c>
      <c r="E27" s="275"/>
      <c r="F27" s="274" t="s">
        <v>47</v>
      </c>
      <c r="G27" s="275"/>
      <c r="H27" s="274" t="s">
        <v>187</v>
      </c>
      <c r="I27" s="275"/>
      <c r="J27" s="274" t="s">
        <v>49</v>
      </c>
      <c r="K27" s="275"/>
      <c r="L27" s="274" t="s">
        <v>110</v>
      </c>
      <c r="M27" s="275"/>
      <c r="N27" s="274" t="s">
        <v>51</v>
      </c>
      <c r="O27" s="275"/>
      <c r="P27" s="278" t="s">
        <v>191</v>
      </c>
    </row>
    <row r="28" spans="2:16" x14ac:dyDescent="0.3">
      <c r="B28" s="273"/>
      <c r="C28" s="273"/>
      <c r="D28" s="276">
        <f>'H. Efektif'!D77-1</f>
        <v>12</v>
      </c>
      <c r="E28" s="277"/>
      <c r="F28" s="276">
        <f>'H. Efektif'!E77-3</f>
        <v>13</v>
      </c>
      <c r="G28" s="277"/>
      <c r="H28" s="276">
        <f>'H. Efektif'!F77-3</f>
        <v>12</v>
      </c>
      <c r="I28" s="277"/>
      <c r="J28" s="276">
        <f>'H. Efektif'!G77-3</f>
        <v>13</v>
      </c>
      <c r="K28" s="277"/>
      <c r="L28" s="276">
        <f>'H. Efektif'!H77-3</f>
        <v>11</v>
      </c>
      <c r="M28" s="277"/>
      <c r="N28" s="276">
        <f>'H. Efektif'!I77</f>
        <v>0</v>
      </c>
      <c r="O28" s="277"/>
      <c r="P28" s="279"/>
    </row>
    <row r="29" spans="2:16" x14ac:dyDescent="0.3">
      <c r="B29" s="56"/>
      <c r="C29" s="56"/>
      <c r="D29" s="274"/>
      <c r="E29" s="275"/>
      <c r="F29" s="274"/>
      <c r="G29" s="275"/>
      <c r="H29" s="274"/>
      <c r="I29" s="275"/>
      <c r="J29" s="274"/>
      <c r="K29" s="275"/>
      <c r="L29" s="274"/>
      <c r="M29" s="275"/>
      <c r="N29" s="274"/>
      <c r="O29" s="275"/>
      <c r="P29" s="56"/>
    </row>
    <row r="30" spans="2:16" ht="21" customHeight="1" x14ac:dyDescent="0.3">
      <c r="B30" s="56">
        <v>1</v>
      </c>
      <c r="C30" s="56" t="s">
        <v>197</v>
      </c>
      <c r="D30" s="56"/>
      <c r="E30" s="56">
        <f>D30*D28</f>
        <v>0</v>
      </c>
      <c r="F30" s="56"/>
      <c r="G30" s="56">
        <f>F30*F28</f>
        <v>0</v>
      </c>
      <c r="H30" s="56"/>
      <c r="I30" s="56">
        <f>H30*H28</f>
        <v>0</v>
      </c>
      <c r="J30" s="56"/>
      <c r="K30" s="56">
        <f>J30*J28</f>
        <v>0</v>
      </c>
      <c r="L30" s="56"/>
      <c r="M30" s="56">
        <f>L30*L28</f>
        <v>0</v>
      </c>
      <c r="N30" s="56"/>
      <c r="O30" s="56">
        <f>N30*N28</f>
        <v>0</v>
      </c>
      <c r="P30" s="56">
        <f>E30+G30+I30+K30+M30+O30</f>
        <v>0</v>
      </c>
    </row>
    <row r="31" spans="2:16" ht="21" customHeight="1" x14ac:dyDescent="0.3">
      <c r="B31" s="56">
        <v>2</v>
      </c>
      <c r="C31" s="56" t="s">
        <v>193</v>
      </c>
      <c r="D31" s="56"/>
      <c r="E31" s="56">
        <f>D31*D28</f>
        <v>0</v>
      </c>
      <c r="F31" s="56"/>
      <c r="G31" s="56">
        <f>F31*F28</f>
        <v>0</v>
      </c>
      <c r="H31" s="56"/>
      <c r="I31" s="56">
        <f>H31*H28</f>
        <v>0</v>
      </c>
      <c r="J31" s="56"/>
      <c r="K31" s="56">
        <f>J31*J28</f>
        <v>0</v>
      </c>
      <c r="L31" s="56"/>
      <c r="M31" s="56">
        <f>L31*L28</f>
        <v>0</v>
      </c>
      <c r="N31" s="56"/>
      <c r="O31" s="56">
        <f>N31*N28</f>
        <v>0</v>
      </c>
      <c r="P31" s="56">
        <f t="shared" ref="P31:P39" si="1">E31+G31+I31+K31+M31+O31</f>
        <v>0</v>
      </c>
    </row>
    <row r="32" spans="2:16" ht="21" customHeight="1" x14ac:dyDescent="0.3">
      <c r="B32" s="56">
        <v>3</v>
      </c>
      <c r="C32" s="56" t="s">
        <v>198</v>
      </c>
      <c r="D32" s="56"/>
      <c r="E32" s="56">
        <f>D32*D28</f>
        <v>0</v>
      </c>
      <c r="F32" s="56"/>
      <c r="G32" s="56">
        <f>F32*F28</f>
        <v>0</v>
      </c>
      <c r="H32" s="56"/>
      <c r="I32" s="56">
        <f>H32*H28</f>
        <v>0</v>
      </c>
      <c r="J32" s="56"/>
      <c r="K32" s="56">
        <f>J32*J28</f>
        <v>0</v>
      </c>
      <c r="L32" s="56"/>
      <c r="M32" s="56">
        <f>L32*L28</f>
        <v>0</v>
      </c>
      <c r="N32" s="56"/>
      <c r="O32" s="56">
        <f>N32*N28</f>
        <v>0</v>
      </c>
      <c r="P32" s="56">
        <f t="shared" si="1"/>
        <v>0</v>
      </c>
    </row>
    <row r="33" spans="2:16" ht="21" customHeight="1" x14ac:dyDescent="0.3">
      <c r="B33" s="56">
        <v>4</v>
      </c>
      <c r="C33" s="56" t="s">
        <v>59</v>
      </c>
      <c r="D33" s="56"/>
      <c r="E33" s="56">
        <f>D33*D28</f>
        <v>0</v>
      </c>
      <c r="F33" s="56"/>
      <c r="G33" s="56">
        <f>F33*F28</f>
        <v>0</v>
      </c>
      <c r="H33" s="56"/>
      <c r="I33" s="56">
        <f>H33*H28</f>
        <v>0</v>
      </c>
      <c r="J33" s="56"/>
      <c r="K33" s="56">
        <f>J33*J28</f>
        <v>0</v>
      </c>
      <c r="L33" s="56"/>
      <c r="M33" s="56">
        <f>L33*L28</f>
        <v>0</v>
      </c>
      <c r="N33" s="56"/>
      <c r="O33" s="56">
        <f>N33*N28</f>
        <v>0</v>
      </c>
      <c r="P33" s="56">
        <f t="shared" si="1"/>
        <v>0</v>
      </c>
    </row>
    <row r="34" spans="2:16" ht="21" customHeight="1" x14ac:dyDescent="0.3">
      <c r="B34" s="56">
        <v>5</v>
      </c>
      <c r="C34" s="56" t="s">
        <v>199</v>
      </c>
      <c r="D34" s="56"/>
      <c r="E34" s="56">
        <f>D34*D28</f>
        <v>0</v>
      </c>
      <c r="F34" s="56"/>
      <c r="G34" s="56">
        <f>F34*F28</f>
        <v>0</v>
      </c>
      <c r="H34" s="56"/>
      <c r="I34" s="56">
        <f>H34*H28</f>
        <v>0</v>
      </c>
      <c r="J34" s="56"/>
      <c r="K34" s="56">
        <f>J34*J28</f>
        <v>0</v>
      </c>
      <c r="L34" s="56"/>
      <c r="M34" s="56">
        <f>L34*L28</f>
        <v>0</v>
      </c>
      <c r="N34" s="56"/>
      <c r="O34" s="56">
        <f>N34*N28</f>
        <v>0</v>
      </c>
      <c r="P34" s="56">
        <f t="shared" si="1"/>
        <v>0</v>
      </c>
    </row>
    <row r="35" spans="2:16" ht="21" customHeight="1" x14ac:dyDescent="0.3">
      <c r="B35" s="56">
        <v>6</v>
      </c>
      <c r="C35" s="56" t="s">
        <v>200</v>
      </c>
      <c r="D35" s="56"/>
      <c r="E35" s="56">
        <f>D35*D28</f>
        <v>0</v>
      </c>
      <c r="F35" s="56"/>
      <c r="G35" s="56">
        <f>F35*F28</f>
        <v>0</v>
      </c>
      <c r="H35" s="56"/>
      <c r="I35" s="56">
        <f>H35*H28</f>
        <v>0</v>
      </c>
      <c r="J35" s="56"/>
      <c r="K35" s="56">
        <f>J35*J28</f>
        <v>0</v>
      </c>
      <c r="L35" s="56"/>
      <c r="M35" s="56">
        <f>L35*L28</f>
        <v>0</v>
      </c>
      <c r="N35" s="56"/>
      <c r="O35" s="56">
        <f>N35*N28</f>
        <v>0</v>
      </c>
      <c r="P35" s="56">
        <f t="shared" si="1"/>
        <v>0</v>
      </c>
    </row>
    <row r="36" spans="2:16" ht="21" customHeight="1" x14ac:dyDescent="0.3">
      <c r="B36" s="56">
        <v>7</v>
      </c>
      <c r="C36" s="56" t="s">
        <v>62</v>
      </c>
      <c r="D36" s="56"/>
      <c r="E36" s="56">
        <f>D36*D28</f>
        <v>0</v>
      </c>
      <c r="F36" s="56"/>
      <c r="G36" s="56">
        <f>F36*F28</f>
        <v>0</v>
      </c>
      <c r="H36" s="56"/>
      <c r="I36" s="56">
        <f>H36*H28</f>
        <v>0</v>
      </c>
      <c r="J36" s="56"/>
      <c r="K36" s="56">
        <f>J36*J28</f>
        <v>0</v>
      </c>
      <c r="L36" s="56"/>
      <c r="M36" s="56">
        <f>L36*L28</f>
        <v>0</v>
      </c>
      <c r="N36" s="56"/>
      <c r="O36" s="56">
        <f>N36*N28</f>
        <v>0</v>
      </c>
      <c r="P36" s="56">
        <f t="shared" si="1"/>
        <v>0</v>
      </c>
    </row>
    <row r="37" spans="2:16" ht="21" customHeight="1" x14ac:dyDescent="0.3">
      <c r="B37" s="56">
        <v>8</v>
      </c>
      <c r="C37" s="56" t="s">
        <v>201</v>
      </c>
      <c r="D37" s="56"/>
      <c r="E37" s="56">
        <f>D37*D28</f>
        <v>0</v>
      </c>
      <c r="F37" s="56"/>
      <c r="G37" s="56">
        <f>F37*F28</f>
        <v>0</v>
      </c>
      <c r="H37" s="56"/>
      <c r="I37" s="56">
        <f>H37*H28</f>
        <v>0</v>
      </c>
      <c r="J37" s="56"/>
      <c r="K37" s="56">
        <f>J37*J28</f>
        <v>0</v>
      </c>
      <c r="L37" s="56"/>
      <c r="M37" s="56">
        <f>L37*L28</f>
        <v>0</v>
      </c>
      <c r="N37" s="56"/>
      <c r="O37" s="56">
        <f>N37*N28</f>
        <v>0</v>
      </c>
      <c r="P37" s="56">
        <f t="shared" si="1"/>
        <v>0</v>
      </c>
    </row>
    <row r="38" spans="2:16" ht="21" customHeight="1" x14ac:dyDescent="0.3">
      <c r="B38" s="56">
        <v>9</v>
      </c>
      <c r="C38" s="56"/>
      <c r="D38" s="56"/>
      <c r="E38" s="56">
        <f>D38*D28</f>
        <v>0</v>
      </c>
      <c r="F38" s="56"/>
      <c r="G38" s="56">
        <f>F38*F28</f>
        <v>0</v>
      </c>
      <c r="H38" s="56"/>
      <c r="I38" s="56">
        <f>H38*H28</f>
        <v>0</v>
      </c>
      <c r="J38" s="56"/>
      <c r="K38" s="56">
        <f>J38*J28</f>
        <v>0</v>
      </c>
      <c r="L38" s="56"/>
      <c r="M38" s="56">
        <f>L38*L28</f>
        <v>0</v>
      </c>
      <c r="N38" s="56"/>
      <c r="O38" s="56">
        <f>N38*N28</f>
        <v>0</v>
      </c>
      <c r="P38" s="56">
        <f t="shared" si="1"/>
        <v>0</v>
      </c>
    </row>
    <row r="39" spans="2:16" ht="21" customHeight="1" x14ac:dyDescent="0.3">
      <c r="B39" s="56">
        <v>10</v>
      </c>
      <c r="C39" s="56"/>
      <c r="D39" s="56"/>
      <c r="E39" s="56">
        <f>D39*D28</f>
        <v>0</v>
      </c>
      <c r="F39" s="56"/>
      <c r="G39" s="56">
        <f>F39*F28</f>
        <v>0</v>
      </c>
      <c r="H39" s="56"/>
      <c r="I39" s="56">
        <f>H39*H28</f>
        <v>0</v>
      </c>
      <c r="J39" s="56"/>
      <c r="K39" s="56">
        <f>J39*J28</f>
        <v>0</v>
      </c>
      <c r="L39" s="56"/>
      <c r="M39" s="56">
        <f>L39*L28</f>
        <v>0</v>
      </c>
      <c r="N39" s="56"/>
      <c r="O39" s="56">
        <f>N39*N28</f>
        <v>0</v>
      </c>
      <c r="P39" s="56">
        <f t="shared" si="1"/>
        <v>0</v>
      </c>
    </row>
  </sheetData>
  <mergeCells count="48">
    <mergeCell ref="L28:M28"/>
    <mergeCell ref="N28:O28"/>
    <mergeCell ref="D29:E29"/>
    <mergeCell ref="F29:G29"/>
    <mergeCell ref="H29:I29"/>
    <mergeCell ref="J29:K29"/>
    <mergeCell ref="L29:M29"/>
    <mergeCell ref="N29:O29"/>
    <mergeCell ref="B23:P23"/>
    <mergeCell ref="B24:P24"/>
    <mergeCell ref="B25:P25"/>
    <mergeCell ref="B27:B28"/>
    <mergeCell ref="C27:C28"/>
    <mergeCell ref="D27:E27"/>
    <mergeCell ref="F27:G27"/>
    <mergeCell ref="H27:I27"/>
    <mergeCell ref="J27:K27"/>
    <mergeCell ref="L27:M27"/>
    <mergeCell ref="N27:O27"/>
    <mergeCell ref="P27:P28"/>
    <mergeCell ref="D28:E28"/>
    <mergeCell ref="F28:G28"/>
    <mergeCell ref="H28:I28"/>
    <mergeCell ref="J28:K28"/>
    <mergeCell ref="N5:O5"/>
    <mergeCell ref="N6:O6"/>
    <mergeCell ref="N7:O7"/>
    <mergeCell ref="B1:P1"/>
    <mergeCell ref="B2:P2"/>
    <mergeCell ref="B3:P3"/>
    <mergeCell ref="D7:E7"/>
    <mergeCell ref="F7:G7"/>
    <mergeCell ref="H7:I7"/>
    <mergeCell ref="J7:K7"/>
    <mergeCell ref="L7:M7"/>
    <mergeCell ref="P5:P6"/>
    <mergeCell ref="D5:E5"/>
    <mergeCell ref="D6:E6"/>
    <mergeCell ref="F5:G5"/>
    <mergeCell ref="F6:G6"/>
    <mergeCell ref="C5:C6"/>
    <mergeCell ref="B5:B6"/>
    <mergeCell ref="J5:K5"/>
    <mergeCell ref="J6:K6"/>
    <mergeCell ref="L5:M5"/>
    <mergeCell ref="L6:M6"/>
    <mergeCell ref="H5:I5"/>
    <mergeCell ref="H6:I6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D4EE-80DB-4ED0-9C1C-0C4E2E3C6137}">
  <dimension ref="B1:P38"/>
  <sheetViews>
    <sheetView topLeftCell="A14" workbookViewId="0">
      <selection activeCell="L36" sqref="L36"/>
    </sheetView>
  </sheetViews>
  <sheetFormatPr defaultRowHeight="14.4" x14ac:dyDescent="0.3"/>
  <cols>
    <col min="2" max="2" width="5.109375" customWidth="1"/>
    <col min="3" max="3" width="17.6640625" customWidth="1"/>
    <col min="4" max="4" width="3.5546875" customWidth="1"/>
    <col min="5" max="5" width="5.6640625" customWidth="1"/>
    <col min="6" max="6" width="4" customWidth="1"/>
    <col min="7" max="7" width="6.21875" customWidth="1"/>
    <col min="8" max="8" width="4.5546875" customWidth="1"/>
    <col min="9" max="9" width="6" customWidth="1"/>
    <col min="10" max="10" width="3.6640625" customWidth="1"/>
    <col min="11" max="11" width="6.21875" customWidth="1"/>
    <col min="12" max="12" width="4.6640625" customWidth="1"/>
    <col min="13" max="13" width="6.44140625" customWidth="1"/>
    <col min="14" max="14" width="4.33203125" hidden="1" customWidth="1"/>
    <col min="15" max="15" width="7.33203125" hidden="1" customWidth="1"/>
    <col min="16" max="16" width="11" customWidth="1"/>
  </cols>
  <sheetData>
    <row r="1" spans="2:16" x14ac:dyDescent="0.3">
      <c r="B1" s="170" t="s">
        <v>188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2:16" x14ac:dyDescent="0.3">
      <c r="B2" s="170" t="s">
        <v>297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</row>
    <row r="3" spans="2:16" x14ac:dyDescent="0.3">
      <c r="B3" s="170" t="s">
        <v>203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</row>
    <row r="5" spans="2:16" x14ac:dyDescent="0.3">
      <c r="B5" s="272" t="s">
        <v>190</v>
      </c>
      <c r="C5" s="272" t="s">
        <v>84</v>
      </c>
      <c r="D5" s="280" t="s">
        <v>46</v>
      </c>
      <c r="E5" s="281"/>
      <c r="F5" s="274" t="s">
        <v>47</v>
      </c>
      <c r="G5" s="275"/>
      <c r="H5" s="274" t="s">
        <v>187</v>
      </c>
      <c r="I5" s="275"/>
      <c r="J5" s="274" t="s">
        <v>49</v>
      </c>
      <c r="K5" s="275"/>
      <c r="L5" s="274" t="s">
        <v>110</v>
      </c>
      <c r="M5" s="275"/>
      <c r="N5" s="274" t="s">
        <v>51</v>
      </c>
      <c r="O5" s="275"/>
      <c r="P5" s="278" t="s">
        <v>191</v>
      </c>
    </row>
    <row r="6" spans="2:16" x14ac:dyDescent="0.3">
      <c r="B6" s="273"/>
      <c r="C6" s="273"/>
      <c r="D6" s="282">
        <f>'Hitung JP Kelas'!D6</f>
        <v>15</v>
      </c>
      <c r="E6" s="282"/>
      <c r="F6" s="276">
        <f>'Hitung JP Kelas'!F6</f>
        <v>15</v>
      </c>
      <c r="G6" s="277"/>
      <c r="H6" s="276">
        <f>'Hitung JP Kelas'!H6</f>
        <v>16</v>
      </c>
      <c r="I6" s="277"/>
      <c r="J6" s="276">
        <f>'Hitung JP Kelas'!J6</f>
        <v>15</v>
      </c>
      <c r="K6" s="277"/>
      <c r="L6" s="276">
        <f>'Hitung JP Kelas'!L6</f>
        <v>16</v>
      </c>
      <c r="M6" s="277"/>
      <c r="N6" s="276">
        <f>'H. Efektif'!I31</f>
        <v>0</v>
      </c>
      <c r="O6" s="277"/>
      <c r="P6" s="279"/>
    </row>
    <row r="7" spans="2:16" x14ac:dyDescent="0.3">
      <c r="B7" s="56"/>
      <c r="C7" s="56"/>
      <c r="D7" s="274"/>
      <c r="E7" s="275"/>
      <c r="F7" s="274"/>
      <c r="G7" s="275"/>
      <c r="H7" s="274"/>
      <c r="I7" s="275"/>
      <c r="J7" s="274"/>
      <c r="K7" s="275"/>
      <c r="L7" s="274"/>
      <c r="M7" s="275"/>
      <c r="N7" s="274"/>
      <c r="O7" s="275"/>
      <c r="P7" s="56"/>
    </row>
    <row r="8" spans="2:16" ht="17.399999999999999" customHeight="1" x14ac:dyDescent="0.3">
      <c r="B8" s="56">
        <v>1</v>
      </c>
      <c r="C8" s="56" t="s">
        <v>192</v>
      </c>
      <c r="D8" s="56"/>
      <c r="E8" s="56">
        <f>D8*D6</f>
        <v>0</v>
      </c>
      <c r="F8" s="56"/>
      <c r="G8" s="56">
        <f>F8*F6</f>
        <v>0</v>
      </c>
      <c r="H8" s="56"/>
      <c r="I8" s="56">
        <f>H8*H6</f>
        <v>0</v>
      </c>
      <c r="J8" s="56"/>
      <c r="K8" s="56">
        <f>J8*J6</f>
        <v>0</v>
      </c>
      <c r="L8" s="56"/>
      <c r="M8" s="56">
        <f>L8*L6</f>
        <v>0</v>
      </c>
      <c r="N8" s="56"/>
      <c r="O8" s="56">
        <f>N8*N6</f>
        <v>0</v>
      </c>
      <c r="P8" s="56">
        <f>E8+G8+I8+K8+M8+O8</f>
        <v>0</v>
      </c>
    </row>
    <row r="9" spans="2:16" ht="17.399999999999999" customHeight="1" x14ac:dyDescent="0.3">
      <c r="B9" s="56">
        <v>2</v>
      </c>
      <c r="C9" s="56" t="s">
        <v>185</v>
      </c>
      <c r="D9" s="56"/>
      <c r="E9" s="56">
        <f>D9*D6</f>
        <v>0</v>
      </c>
      <c r="F9" s="56"/>
      <c r="G9" s="56">
        <f>F9*F6</f>
        <v>0</v>
      </c>
      <c r="H9" s="56"/>
      <c r="I9" s="56">
        <f>H9*H6</f>
        <v>0</v>
      </c>
      <c r="J9" s="56"/>
      <c r="K9" s="56">
        <f>J9*J6</f>
        <v>0</v>
      </c>
      <c r="L9" s="56"/>
      <c r="M9" s="56">
        <f>L9*L6</f>
        <v>0</v>
      </c>
      <c r="N9" s="56"/>
      <c r="O9" s="56">
        <f>N9*N6</f>
        <v>0</v>
      </c>
      <c r="P9" s="56">
        <f t="shared" ref="P9:P17" si="0">E9+G9+I9+K9+M9+O9</f>
        <v>0</v>
      </c>
    </row>
    <row r="10" spans="2:16" ht="17.399999999999999" customHeight="1" x14ac:dyDescent="0.3">
      <c r="B10" s="56">
        <v>3</v>
      </c>
      <c r="C10" s="56" t="s">
        <v>186</v>
      </c>
      <c r="D10" s="56"/>
      <c r="E10" s="56">
        <f>D10*D6</f>
        <v>0</v>
      </c>
      <c r="F10" s="56"/>
      <c r="G10" s="56">
        <f>F10*F6</f>
        <v>0</v>
      </c>
      <c r="H10" s="56"/>
      <c r="I10" s="56">
        <f>H10*H6</f>
        <v>0</v>
      </c>
      <c r="J10" s="56"/>
      <c r="K10" s="56">
        <f>J10*J6</f>
        <v>0</v>
      </c>
      <c r="L10" s="56"/>
      <c r="M10" s="56">
        <f>L10*L6</f>
        <v>0</v>
      </c>
      <c r="N10" s="56"/>
      <c r="O10" s="56">
        <f>N10*N6</f>
        <v>0</v>
      </c>
      <c r="P10" s="56">
        <f t="shared" si="0"/>
        <v>0</v>
      </c>
    </row>
    <row r="11" spans="2:16" ht="17.399999999999999" customHeight="1" x14ac:dyDescent="0.3">
      <c r="B11" s="56">
        <v>4</v>
      </c>
      <c r="C11" s="56" t="s">
        <v>77</v>
      </c>
      <c r="D11" s="56"/>
      <c r="E11" s="56">
        <f>D11*D6</f>
        <v>0</v>
      </c>
      <c r="F11" s="56"/>
      <c r="G11" s="56">
        <f>F11*F6</f>
        <v>0</v>
      </c>
      <c r="H11" s="56"/>
      <c r="I11" s="56">
        <f>H11*H6</f>
        <v>0</v>
      </c>
      <c r="J11" s="56"/>
      <c r="K11" s="56">
        <f>J11*J6</f>
        <v>0</v>
      </c>
      <c r="L11" s="56"/>
      <c r="M11" s="56">
        <f>L11*L6</f>
        <v>0</v>
      </c>
      <c r="N11" s="56"/>
      <c r="O11" s="56">
        <f>N11*N6</f>
        <v>0</v>
      </c>
      <c r="P11" s="56">
        <f t="shared" si="0"/>
        <v>0</v>
      </c>
    </row>
    <row r="12" spans="2:16" ht="17.399999999999999" customHeight="1" x14ac:dyDescent="0.3">
      <c r="B12" s="56">
        <v>5</v>
      </c>
      <c r="C12" s="56" t="s">
        <v>73</v>
      </c>
      <c r="D12" s="56"/>
      <c r="E12" s="56">
        <f>D12*D6</f>
        <v>0</v>
      </c>
      <c r="F12" s="56"/>
      <c r="G12" s="56">
        <f>F12*F6</f>
        <v>0</v>
      </c>
      <c r="H12" s="56"/>
      <c r="I12" s="56">
        <f>H12*H6</f>
        <v>0</v>
      </c>
      <c r="J12" s="56"/>
      <c r="K12" s="56">
        <f>J12*J6</f>
        <v>0</v>
      </c>
      <c r="L12" s="56"/>
      <c r="M12" s="56">
        <f>L12*L6</f>
        <v>0</v>
      </c>
      <c r="N12" s="56"/>
      <c r="O12" s="56">
        <f>N12*N6</f>
        <v>0</v>
      </c>
      <c r="P12" s="56">
        <f t="shared" si="0"/>
        <v>0</v>
      </c>
    </row>
    <row r="13" spans="2:16" ht="17.399999999999999" customHeight="1" x14ac:dyDescent="0.3">
      <c r="B13" s="56">
        <v>6</v>
      </c>
      <c r="C13" s="56" t="s">
        <v>74</v>
      </c>
      <c r="D13" s="56"/>
      <c r="E13" s="56">
        <f>D13*D6</f>
        <v>0</v>
      </c>
      <c r="F13" s="56"/>
      <c r="G13" s="56">
        <f>F13*F6</f>
        <v>0</v>
      </c>
      <c r="H13" s="56"/>
      <c r="I13" s="56">
        <f>H13*H6</f>
        <v>0</v>
      </c>
      <c r="J13" s="56"/>
      <c r="K13" s="56">
        <f>J13*J6</f>
        <v>0</v>
      </c>
      <c r="L13" s="56"/>
      <c r="M13" s="56">
        <f>L13*L6</f>
        <v>0</v>
      </c>
      <c r="N13" s="56"/>
      <c r="O13" s="56">
        <f>N13*N6</f>
        <v>0</v>
      </c>
      <c r="P13" s="56">
        <f t="shared" si="0"/>
        <v>0</v>
      </c>
    </row>
    <row r="14" spans="2:16" ht="17.399999999999999" customHeight="1" x14ac:dyDescent="0.3">
      <c r="B14" s="56">
        <v>7</v>
      </c>
      <c r="C14" s="56" t="s">
        <v>75</v>
      </c>
      <c r="D14" s="56"/>
      <c r="E14" s="56">
        <f>D14*D6</f>
        <v>0</v>
      </c>
      <c r="F14" s="56"/>
      <c r="G14" s="56">
        <f>F14*F6</f>
        <v>0</v>
      </c>
      <c r="H14" s="56"/>
      <c r="I14" s="56">
        <f>H14*H6</f>
        <v>0</v>
      </c>
      <c r="J14" s="56"/>
      <c r="K14" s="56">
        <f>J14*J6</f>
        <v>0</v>
      </c>
      <c r="L14" s="56"/>
      <c r="M14" s="56">
        <f>L14*L6</f>
        <v>0</v>
      </c>
      <c r="N14" s="56"/>
      <c r="O14" s="56">
        <f>N14*N6</f>
        <v>0</v>
      </c>
      <c r="P14" s="56">
        <f t="shared" si="0"/>
        <v>0</v>
      </c>
    </row>
    <row r="15" spans="2:16" ht="17.399999999999999" customHeight="1" x14ac:dyDescent="0.3">
      <c r="B15" s="56">
        <v>8</v>
      </c>
      <c r="C15" s="56"/>
      <c r="D15" s="56"/>
      <c r="E15" s="56">
        <f>D15*D6</f>
        <v>0</v>
      </c>
      <c r="F15" s="56"/>
      <c r="G15" s="56">
        <f>F15*F6</f>
        <v>0</v>
      </c>
      <c r="H15" s="56"/>
      <c r="I15" s="56">
        <f>H15*H6</f>
        <v>0</v>
      </c>
      <c r="J15" s="56"/>
      <c r="K15" s="56">
        <f>J15*J6</f>
        <v>0</v>
      </c>
      <c r="L15" s="56"/>
      <c r="M15" s="56">
        <f>L15*L6</f>
        <v>0</v>
      </c>
      <c r="N15" s="56"/>
      <c r="O15" s="56">
        <f>N15*N6</f>
        <v>0</v>
      </c>
      <c r="P15" s="56">
        <f t="shared" si="0"/>
        <v>0</v>
      </c>
    </row>
    <row r="16" spans="2:16" ht="17.399999999999999" customHeight="1" x14ac:dyDescent="0.3">
      <c r="B16" s="56">
        <v>9</v>
      </c>
      <c r="C16" s="56"/>
      <c r="D16" s="56"/>
      <c r="E16" s="56">
        <f>D16*D6</f>
        <v>0</v>
      </c>
      <c r="F16" s="56"/>
      <c r="G16" s="56">
        <f>F16*F6</f>
        <v>0</v>
      </c>
      <c r="H16" s="56"/>
      <c r="I16" s="56">
        <f>H16*H6</f>
        <v>0</v>
      </c>
      <c r="J16" s="56"/>
      <c r="K16" s="56">
        <f>J16*J6</f>
        <v>0</v>
      </c>
      <c r="L16" s="56"/>
      <c r="M16" s="56">
        <f>L16*L6</f>
        <v>0</v>
      </c>
      <c r="N16" s="56"/>
      <c r="O16" s="56">
        <f>N16*N6</f>
        <v>0</v>
      </c>
      <c r="P16" s="56">
        <f t="shared" si="0"/>
        <v>0</v>
      </c>
    </row>
    <row r="17" spans="2:16" ht="17.399999999999999" customHeight="1" x14ac:dyDescent="0.3">
      <c r="B17" s="56">
        <v>10</v>
      </c>
      <c r="C17" s="56"/>
      <c r="D17" s="56"/>
      <c r="E17" s="56">
        <f>D17*D6</f>
        <v>0</v>
      </c>
      <c r="F17" s="56"/>
      <c r="G17" s="56">
        <f>F17*F6</f>
        <v>0</v>
      </c>
      <c r="H17" s="56"/>
      <c r="I17" s="56">
        <f>H17*H6</f>
        <v>0</v>
      </c>
      <c r="J17" s="56"/>
      <c r="K17" s="56">
        <f>J17*J6</f>
        <v>0</v>
      </c>
      <c r="L17" s="56"/>
      <c r="M17" s="56">
        <f>L17*L6</f>
        <v>0</v>
      </c>
      <c r="N17" s="56"/>
      <c r="O17" s="56">
        <f>N17*N6</f>
        <v>0</v>
      </c>
      <c r="P17" s="56">
        <f t="shared" si="0"/>
        <v>0</v>
      </c>
    </row>
    <row r="22" spans="2:16" x14ac:dyDescent="0.3">
      <c r="B22" s="170" t="s">
        <v>188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</row>
    <row r="23" spans="2:16" x14ac:dyDescent="0.3">
      <c r="B23" s="170" t="s">
        <v>296</v>
      </c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</row>
    <row r="24" spans="2:16" x14ac:dyDescent="0.3">
      <c r="B24" s="170" t="s">
        <v>203</v>
      </c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</row>
    <row r="26" spans="2:16" x14ac:dyDescent="0.3">
      <c r="B26" s="272" t="s">
        <v>190</v>
      </c>
      <c r="C26" s="272" t="s">
        <v>84</v>
      </c>
      <c r="D26" s="280" t="s">
        <v>46</v>
      </c>
      <c r="E26" s="281"/>
      <c r="F26" s="274" t="s">
        <v>47</v>
      </c>
      <c r="G26" s="275"/>
      <c r="H26" s="274" t="s">
        <v>187</v>
      </c>
      <c r="I26" s="275"/>
      <c r="J26" s="274" t="s">
        <v>49</v>
      </c>
      <c r="K26" s="275"/>
      <c r="L26" s="274" t="s">
        <v>110</v>
      </c>
      <c r="M26" s="275"/>
      <c r="N26" s="274" t="s">
        <v>51</v>
      </c>
      <c r="O26" s="275"/>
      <c r="P26" s="278" t="s">
        <v>191</v>
      </c>
    </row>
    <row r="27" spans="2:16" x14ac:dyDescent="0.3">
      <c r="B27" s="273"/>
      <c r="C27" s="273"/>
      <c r="D27" s="282">
        <f>'Hitung JP Kelas'!D28</f>
        <v>12</v>
      </c>
      <c r="E27" s="282"/>
      <c r="F27" s="282">
        <f>'Hitung JP Kelas'!F28</f>
        <v>13</v>
      </c>
      <c r="G27" s="282"/>
      <c r="H27" s="282">
        <f>'Hitung JP Kelas'!H28</f>
        <v>12</v>
      </c>
      <c r="I27" s="282"/>
      <c r="J27" s="282">
        <f>'Hitung JP Kelas'!J28</f>
        <v>13</v>
      </c>
      <c r="K27" s="282"/>
      <c r="L27" s="282">
        <f>'Hitung JP Kelas'!L28</f>
        <v>11</v>
      </c>
      <c r="M27" s="282"/>
      <c r="N27" s="276">
        <f>'H. Efektif'!I77</f>
        <v>0</v>
      </c>
      <c r="O27" s="277"/>
      <c r="P27" s="279"/>
    </row>
    <row r="28" spans="2:16" x14ac:dyDescent="0.3">
      <c r="B28" s="56"/>
      <c r="C28" s="56"/>
      <c r="D28" s="274"/>
      <c r="E28" s="275"/>
      <c r="F28" s="274"/>
      <c r="G28" s="275"/>
      <c r="H28" s="274"/>
      <c r="I28" s="275"/>
      <c r="J28" s="274"/>
      <c r="K28" s="275"/>
      <c r="L28" s="274"/>
      <c r="M28" s="275"/>
      <c r="N28" s="274"/>
      <c r="O28" s="275"/>
      <c r="P28" s="56"/>
    </row>
    <row r="29" spans="2:16" ht="19.8" customHeight="1" x14ac:dyDescent="0.3">
      <c r="B29" s="56">
        <v>1</v>
      </c>
      <c r="C29" s="56" t="s">
        <v>192</v>
      </c>
      <c r="D29" s="56"/>
      <c r="E29" s="56">
        <f>D29*D27</f>
        <v>0</v>
      </c>
      <c r="F29" s="56"/>
      <c r="G29" s="56">
        <f>F29*F27</f>
        <v>0</v>
      </c>
      <c r="H29" s="56">
        <v>4</v>
      </c>
      <c r="I29" s="56">
        <f>H29*H27</f>
        <v>48</v>
      </c>
      <c r="J29" s="56"/>
      <c r="K29" s="56">
        <f>J29*J27</f>
        <v>0</v>
      </c>
      <c r="L29" s="56"/>
      <c r="M29" s="56">
        <f>L29*L27</f>
        <v>0</v>
      </c>
      <c r="N29" s="56"/>
      <c r="O29" s="56">
        <f>N29*N27</f>
        <v>0</v>
      </c>
      <c r="P29" s="56">
        <f>E29+G29+I29+K29+M29+O29</f>
        <v>48</v>
      </c>
    </row>
    <row r="30" spans="2:16" ht="19.8" customHeight="1" x14ac:dyDescent="0.3">
      <c r="B30" s="56">
        <v>2</v>
      </c>
      <c r="C30" s="56" t="s">
        <v>185</v>
      </c>
      <c r="D30" s="56"/>
      <c r="E30" s="56">
        <f>D30*D27</f>
        <v>0</v>
      </c>
      <c r="F30" s="56"/>
      <c r="G30" s="56">
        <f>F30*F27</f>
        <v>0</v>
      </c>
      <c r="H30" s="56"/>
      <c r="I30" s="56">
        <f>H30*H27</f>
        <v>0</v>
      </c>
      <c r="J30" s="56"/>
      <c r="K30" s="56">
        <f>J30*J27</f>
        <v>0</v>
      </c>
      <c r="L30" s="56"/>
      <c r="M30" s="56">
        <f>L30*L27</f>
        <v>0</v>
      </c>
      <c r="N30" s="56">
        <v>2</v>
      </c>
      <c r="O30" s="56">
        <f>N30*N27</f>
        <v>0</v>
      </c>
      <c r="P30" s="56">
        <f t="shared" ref="P30:P38" si="1">E30+G30+I30+K30+M30+O30</f>
        <v>0</v>
      </c>
    </row>
    <row r="31" spans="2:16" ht="19.8" customHeight="1" x14ac:dyDescent="0.3">
      <c r="B31" s="56">
        <v>3</v>
      </c>
      <c r="C31" s="56" t="s">
        <v>186</v>
      </c>
      <c r="D31" s="56"/>
      <c r="E31" s="56">
        <f>D31*D27</f>
        <v>0</v>
      </c>
      <c r="F31" s="56"/>
      <c r="G31" s="56">
        <f>F31*F27</f>
        <v>0</v>
      </c>
      <c r="H31" s="56"/>
      <c r="I31" s="56">
        <f>H31*H27</f>
        <v>0</v>
      </c>
      <c r="J31" s="56"/>
      <c r="K31" s="56">
        <f>J31*J27</f>
        <v>0</v>
      </c>
      <c r="L31" s="56"/>
      <c r="M31" s="56">
        <f>L31*L27</f>
        <v>0</v>
      </c>
      <c r="N31" s="56"/>
      <c r="O31" s="56">
        <f>N31*N27</f>
        <v>0</v>
      </c>
      <c r="P31" s="56">
        <f t="shared" si="1"/>
        <v>0</v>
      </c>
    </row>
    <row r="32" spans="2:16" ht="19.8" customHeight="1" x14ac:dyDescent="0.3">
      <c r="B32" s="56">
        <v>4</v>
      </c>
      <c r="C32" s="56" t="s">
        <v>77</v>
      </c>
      <c r="D32" s="56"/>
      <c r="E32" s="56">
        <f>D32*D27</f>
        <v>0</v>
      </c>
      <c r="F32" s="56"/>
      <c r="G32" s="56">
        <f>F32*F27</f>
        <v>0</v>
      </c>
      <c r="H32" s="56"/>
      <c r="I32" s="56">
        <f>H32*H27</f>
        <v>0</v>
      </c>
      <c r="J32" s="56"/>
      <c r="K32" s="56">
        <f>J32*J27</f>
        <v>0</v>
      </c>
      <c r="L32" s="56"/>
      <c r="M32" s="56">
        <f>L32*L27</f>
        <v>0</v>
      </c>
      <c r="N32" s="56"/>
      <c r="O32" s="56">
        <f>N32*N27</f>
        <v>0</v>
      </c>
      <c r="P32" s="56">
        <f t="shared" si="1"/>
        <v>0</v>
      </c>
    </row>
    <row r="33" spans="2:16" ht="19.8" customHeight="1" x14ac:dyDescent="0.3">
      <c r="B33" s="56">
        <v>5</v>
      </c>
      <c r="C33" s="56" t="s">
        <v>73</v>
      </c>
      <c r="D33" s="56"/>
      <c r="E33" s="56">
        <f>D33*D27</f>
        <v>0</v>
      </c>
      <c r="F33" s="56"/>
      <c r="G33" s="56">
        <f>F33*F27</f>
        <v>0</v>
      </c>
      <c r="H33" s="56"/>
      <c r="I33" s="56">
        <f>H33*H27</f>
        <v>0</v>
      </c>
      <c r="J33" s="56"/>
      <c r="K33" s="56">
        <f>J33*J27</f>
        <v>0</v>
      </c>
      <c r="L33" s="56"/>
      <c r="M33" s="56">
        <f>L33*L27</f>
        <v>0</v>
      </c>
      <c r="N33" s="56"/>
      <c r="O33" s="56">
        <f>N33*N27</f>
        <v>0</v>
      </c>
      <c r="P33" s="56">
        <f t="shared" si="1"/>
        <v>0</v>
      </c>
    </row>
    <row r="34" spans="2:16" ht="19.8" customHeight="1" x14ac:dyDescent="0.3">
      <c r="B34" s="56">
        <v>6</v>
      </c>
      <c r="C34" s="56" t="s">
        <v>74</v>
      </c>
      <c r="D34" s="56"/>
      <c r="E34" s="56">
        <f>D34*D27</f>
        <v>0</v>
      </c>
      <c r="F34" s="56"/>
      <c r="G34" s="56">
        <f>F34*F27</f>
        <v>0</v>
      </c>
      <c r="H34" s="56"/>
      <c r="I34" s="56">
        <f>H34*H27</f>
        <v>0</v>
      </c>
      <c r="J34" s="56"/>
      <c r="K34" s="56">
        <f>J34*J27</f>
        <v>0</v>
      </c>
      <c r="L34" s="56"/>
      <c r="M34" s="56">
        <f>L34*L27</f>
        <v>0</v>
      </c>
      <c r="N34" s="56"/>
      <c r="O34" s="56">
        <f>N34*N27</f>
        <v>0</v>
      </c>
      <c r="P34" s="56">
        <f t="shared" si="1"/>
        <v>0</v>
      </c>
    </row>
    <row r="35" spans="2:16" ht="19.8" customHeight="1" x14ac:dyDescent="0.3">
      <c r="B35" s="56">
        <v>7</v>
      </c>
      <c r="C35" s="56" t="s">
        <v>75</v>
      </c>
      <c r="D35" s="56"/>
      <c r="E35" s="56">
        <f>D35*D27</f>
        <v>0</v>
      </c>
      <c r="F35" s="56"/>
      <c r="G35" s="56">
        <f>F35*F27</f>
        <v>0</v>
      </c>
      <c r="H35" s="56"/>
      <c r="I35" s="56">
        <f>H35*H27</f>
        <v>0</v>
      </c>
      <c r="J35" s="56"/>
      <c r="K35" s="56">
        <f>J35*J27</f>
        <v>0</v>
      </c>
      <c r="L35" s="56"/>
      <c r="M35" s="56">
        <f>L35*L27</f>
        <v>0</v>
      </c>
      <c r="N35" s="56"/>
      <c r="O35" s="56">
        <f>N35*N27</f>
        <v>0</v>
      </c>
      <c r="P35" s="56">
        <f t="shared" si="1"/>
        <v>0</v>
      </c>
    </row>
    <row r="36" spans="2:16" ht="19.8" customHeight="1" x14ac:dyDescent="0.3">
      <c r="B36" s="56">
        <v>8</v>
      </c>
      <c r="C36" s="56"/>
      <c r="D36" s="56"/>
      <c r="E36" s="56">
        <f>D36*D27</f>
        <v>0</v>
      </c>
      <c r="F36" s="56"/>
      <c r="G36" s="56">
        <f>F36*F27</f>
        <v>0</v>
      </c>
      <c r="H36" s="56"/>
      <c r="I36" s="56">
        <f>H36*H27</f>
        <v>0</v>
      </c>
      <c r="J36" s="56"/>
      <c r="K36" s="56">
        <f>J36*J27</f>
        <v>0</v>
      </c>
      <c r="L36" s="56"/>
      <c r="M36" s="56">
        <f>L36*L27</f>
        <v>0</v>
      </c>
      <c r="N36" s="56"/>
      <c r="O36" s="56">
        <f>N36*N27</f>
        <v>0</v>
      </c>
      <c r="P36" s="56">
        <f t="shared" si="1"/>
        <v>0</v>
      </c>
    </row>
    <row r="37" spans="2:16" ht="19.8" customHeight="1" x14ac:dyDescent="0.3">
      <c r="B37" s="56">
        <v>9</v>
      </c>
      <c r="C37" s="56"/>
      <c r="D37" s="56"/>
      <c r="E37" s="56">
        <f>D37*D27</f>
        <v>0</v>
      </c>
      <c r="F37" s="56"/>
      <c r="G37" s="56">
        <f>F37*F27</f>
        <v>0</v>
      </c>
      <c r="H37" s="56"/>
      <c r="I37" s="56">
        <f>H37*H27</f>
        <v>0</v>
      </c>
      <c r="J37" s="56"/>
      <c r="K37" s="56">
        <f>J37*J27</f>
        <v>0</v>
      </c>
      <c r="L37" s="56"/>
      <c r="M37" s="56">
        <f>L37*L27</f>
        <v>0</v>
      </c>
      <c r="N37" s="56"/>
      <c r="O37" s="56">
        <f>N37*N27</f>
        <v>0</v>
      </c>
      <c r="P37" s="56">
        <f t="shared" si="1"/>
        <v>0</v>
      </c>
    </row>
    <row r="38" spans="2:16" ht="19.8" customHeight="1" x14ac:dyDescent="0.3">
      <c r="B38" s="56">
        <v>10</v>
      </c>
      <c r="C38" s="56"/>
      <c r="D38" s="56"/>
      <c r="E38" s="56">
        <f>D38*D27</f>
        <v>0</v>
      </c>
      <c r="F38" s="56"/>
      <c r="G38" s="56">
        <f>F38*F27</f>
        <v>0</v>
      </c>
      <c r="H38" s="56"/>
      <c r="I38" s="56">
        <f>H38*H27</f>
        <v>0</v>
      </c>
      <c r="J38" s="56"/>
      <c r="K38" s="56">
        <f>J38*J27</f>
        <v>0</v>
      </c>
      <c r="L38" s="56"/>
      <c r="M38" s="56">
        <f>L38*L27</f>
        <v>0</v>
      </c>
      <c r="N38" s="56"/>
      <c r="O38" s="56">
        <f>N38*N27</f>
        <v>0</v>
      </c>
      <c r="P38" s="56">
        <f t="shared" si="1"/>
        <v>0</v>
      </c>
    </row>
  </sheetData>
  <mergeCells count="48">
    <mergeCell ref="L27:M27"/>
    <mergeCell ref="N27:O27"/>
    <mergeCell ref="D28:E28"/>
    <mergeCell ref="F28:G28"/>
    <mergeCell ref="H28:I28"/>
    <mergeCell ref="J28:K28"/>
    <mergeCell ref="L28:M28"/>
    <mergeCell ref="N28:O28"/>
    <mergeCell ref="B22:P22"/>
    <mergeCell ref="B23:P23"/>
    <mergeCell ref="B24:P24"/>
    <mergeCell ref="B26:B27"/>
    <mergeCell ref="C26:C27"/>
    <mergeCell ref="D26:E26"/>
    <mergeCell ref="F26:G26"/>
    <mergeCell ref="H26:I26"/>
    <mergeCell ref="J26:K26"/>
    <mergeCell ref="L26:M26"/>
    <mergeCell ref="N26:O26"/>
    <mergeCell ref="P26:P27"/>
    <mergeCell ref="D27:E27"/>
    <mergeCell ref="F27:G27"/>
    <mergeCell ref="H27:I27"/>
    <mergeCell ref="J27:K27"/>
    <mergeCell ref="B1:P1"/>
    <mergeCell ref="B2:P2"/>
    <mergeCell ref="B5:B6"/>
    <mergeCell ref="C5:C6"/>
    <mergeCell ref="D5:E5"/>
    <mergeCell ref="F5:G5"/>
    <mergeCell ref="H5:I5"/>
    <mergeCell ref="J5:K5"/>
    <mergeCell ref="L5:M5"/>
    <mergeCell ref="N5:O5"/>
    <mergeCell ref="P5:P6"/>
    <mergeCell ref="D6:E6"/>
    <mergeCell ref="F6:G6"/>
    <mergeCell ref="H6:I6"/>
    <mergeCell ref="J6:K6"/>
    <mergeCell ref="L6:M6"/>
    <mergeCell ref="N7:O7"/>
    <mergeCell ref="B3:P3"/>
    <mergeCell ref="D7:E7"/>
    <mergeCell ref="F7:G7"/>
    <mergeCell ref="H7:I7"/>
    <mergeCell ref="J7:K7"/>
    <mergeCell ref="L7:M7"/>
    <mergeCell ref="N6:O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M41"/>
  <sheetViews>
    <sheetView topLeftCell="A17" workbookViewId="0">
      <selection activeCell="X17" sqref="X17"/>
    </sheetView>
  </sheetViews>
  <sheetFormatPr defaultRowHeight="14.4" x14ac:dyDescent="0.3"/>
  <cols>
    <col min="1" max="1" width="3.5546875" customWidth="1"/>
    <col min="2" max="2" width="3.88671875" customWidth="1"/>
    <col min="3" max="3" width="9.5546875" customWidth="1"/>
    <col min="4" max="34" width="3.33203125" customWidth="1"/>
    <col min="35" max="37" width="3.5546875" customWidth="1"/>
    <col min="38" max="38" width="4.33203125" customWidth="1"/>
    <col min="39" max="39" width="4.109375" customWidth="1"/>
    <col min="40" max="40" width="0.77734375" customWidth="1"/>
    <col min="41" max="41" width="1" customWidth="1"/>
  </cols>
  <sheetData>
    <row r="3" spans="1:39" ht="13.5" customHeight="1" x14ac:dyDescent="0.3">
      <c r="B3" s="42" t="s">
        <v>204</v>
      </c>
    </row>
    <row r="4" spans="1:39" ht="13.5" customHeight="1" x14ac:dyDescent="0.35">
      <c r="A4" s="169" t="s">
        <v>0</v>
      </c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</row>
    <row r="5" spans="1:39" ht="13.5" customHeight="1" x14ac:dyDescent="0.3">
      <c r="A5" s="170" t="s">
        <v>154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</row>
    <row r="6" spans="1:39" ht="13.5" customHeight="1" x14ac:dyDescent="0.3">
      <c r="A6" s="170" t="s">
        <v>230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</row>
    <row r="7" spans="1:39" ht="7.5" customHeight="1" x14ac:dyDescent="0.3"/>
    <row r="8" spans="1:39" ht="13.5" customHeight="1" x14ac:dyDescent="0.3">
      <c r="A8" s="161" t="s">
        <v>10</v>
      </c>
      <c r="B8" s="161" t="s">
        <v>41</v>
      </c>
      <c r="C8" s="161" t="s">
        <v>1</v>
      </c>
      <c r="D8" s="162" t="s">
        <v>8</v>
      </c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73" t="s">
        <v>15</v>
      </c>
      <c r="AJ8" s="174"/>
      <c r="AK8" s="174"/>
      <c r="AL8" s="174"/>
      <c r="AM8" s="175"/>
    </row>
    <row r="9" spans="1:39" ht="13.5" customHeight="1" x14ac:dyDescent="0.3">
      <c r="A9" s="161"/>
      <c r="B9" s="161"/>
      <c r="C9" s="161"/>
      <c r="D9" s="10">
        <v>1</v>
      </c>
      <c r="E9" s="10">
        <v>2</v>
      </c>
      <c r="F9" s="10">
        <v>3</v>
      </c>
      <c r="G9" s="10">
        <v>4</v>
      </c>
      <c r="H9" s="10">
        <v>5</v>
      </c>
      <c r="I9" s="10">
        <v>6</v>
      </c>
      <c r="J9" s="10">
        <v>7</v>
      </c>
      <c r="K9" s="10">
        <v>8</v>
      </c>
      <c r="L9" s="10">
        <v>9</v>
      </c>
      <c r="M9" s="10">
        <v>10</v>
      </c>
      <c r="N9" s="10">
        <v>11</v>
      </c>
      <c r="O9" s="10">
        <v>12</v>
      </c>
      <c r="P9" s="10">
        <v>13</v>
      </c>
      <c r="Q9" s="10">
        <v>14</v>
      </c>
      <c r="R9" s="10">
        <v>15</v>
      </c>
      <c r="S9" s="10">
        <v>16</v>
      </c>
      <c r="T9" s="10">
        <v>17</v>
      </c>
      <c r="U9" s="10">
        <v>18</v>
      </c>
      <c r="V9" s="10">
        <v>19</v>
      </c>
      <c r="W9" s="10">
        <v>20</v>
      </c>
      <c r="X9" s="10">
        <v>21</v>
      </c>
      <c r="Y9" s="10">
        <v>22</v>
      </c>
      <c r="Z9" s="10">
        <v>23</v>
      </c>
      <c r="AA9" s="10">
        <v>24</v>
      </c>
      <c r="AB9" s="10">
        <v>25</v>
      </c>
      <c r="AC9" s="10">
        <v>26</v>
      </c>
      <c r="AD9" s="10">
        <v>27</v>
      </c>
      <c r="AE9" s="10">
        <v>28</v>
      </c>
      <c r="AF9" s="10">
        <v>29</v>
      </c>
      <c r="AG9" s="10">
        <v>30</v>
      </c>
      <c r="AH9" s="10">
        <v>31</v>
      </c>
      <c r="AI9" s="11" t="s">
        <v>216</v>
      </c>
      <c r="AJ9" s="12" t="s">
        <v>16</v>
      </c>
      <c r="AK9" s="13" t="s">
        <v>35</v>
      </c>
      <c r="AL9" s="14" t="s">
        <v>17</v>
      </c>
      <c r="AM9" s="15" t="s">
        <v>34</v>
      </c>
    </row>
    <row r="10" spans="1:39" ht="13.5" customHeight="1" x14ac:dyDescent="0.3">
      <c r="A10" s="164">
        <v>2025</v>
      </c>
      <c r="B10" s="165" t="s">
        <v>9</v>
      </c>
      <c r="C10" s="67" t="s">
        <v>2</v>
      </c>
      <c r="D10" s="16" t="s">
        <v>14</v>
      </c>
      <c r="E10" s="16" t="s">
        <v>14</v>
      </c>
      <c r="F10" s="16" t="s">
        <v>14</v>
      </c>
      <c r="G10" s="16" t="s">
        <v>14</v>
      </c>
      <c r="H10" s="120" t="s">
        <v>215</v>
      </c>
      <c r="I10" s="120" t="s">
        <v>215</v>
      </c>
      <c r="J10" s="16" t="s">
        <v>14</v>
      </c>
      <c r="K10" s="16" t="s">
        <v>14</v>
      </c>
      <c r="L10" s="16" t="s">
        <v>14</v>
      </c>
      <c r="M10" s="16" t="s">
        <v>14</v>
      </c>
      <c r="N10" s="16" t="s">
        <v>14</v>
      </c>
      <c r="O10" s="120" t="s">
        <v>215</v>
      </c>
      <c r="P10" s="120" t="s">
        <v>215</v>
      </c>
      <c r="Q10" s="55" t="s">
        <v>87</v>
      </c>
      <c r="R10" s="17"/>
      <c r="S10" s="17"/>
      <c r="T10" s="17"/>
      <c r="U10" s="17"/>
      <c r="V10" s="120" t="s">
        <v>215</v>
      </c>
      <c r="W10" s="120" t="s">
        <v>215</v>
      </c>
      <c r="X10" s="114"/>
      <c r="Y10" s="114"/>
      <c r="Z10" s="114"/>
      <c r="AA10" s="114"/>
      <c r="AB10" s="114"/>
      <c r="AC10" s="120" t="s">
        <v>215</v>
      </c>
      <c r="AD10" s="120" t="s">
        <v>215</v>
      </c>
      <c r="AE10" s="68"/>
      <c r="AF10" s="68"/>
      <c r="AG10" s="68"/>
      <c r="AH10" s="68"/>
      <c r="AI10" s="18">
        <v>8</v>
      </c>
      <c r="AJ10" s="19">
        <v>9</v>
      </c>
      <c r="AK10" s="20">
        <v>5</v>
      </c>
      <c r="AL10" s="21">
        <v>9</v>
      </c>
      <c r="AM10" s="22">
        <f>SUM(AI10:AL10)</f>
        <v>31</v>
      </c>
    </row>
    <row r="11" spans="1:39" ht="13.5" customHeight="1" x14ac:dyDescent="0.3">
      <c r="A11" s="164"/>
      <c r="B11" s="165"/>
      <c r="C11" s="67" t="s">
        <v>3</v>
      </c>
      <c r="D11" s="68"/>
      <c r="E11" s="120" t="s">
        <v>215</v>
      </c>
      <c r="F11" s="120" t="s">
        <v>215</v>
      </c>
      <c r="G11" s="68"/>
      <c r="H11" s="68"/>
      <c r="I11" s="68"/>
      <c r="J11" s="68"/>
      <c r="K11" s="68"/>
      <c r="L11" s="120" t="s">
        <v>215</v>
      </c>
      <c r="M11" s="120" t="s">
        <v>215</v>
      </c>
      <c r="N11" s="68"/>
      <c r="O11" s="68"/>
      <c r="P11" s="68"/>
      <c r="Q11" s="16" t="s">
        <v>45</v>
      </c>
      <c r="R11" s="68"/>
      <c r="S11" s="120" t="s">
        <v>215</v>
      </c>
      <c r="T11" s="120" t="s">
        <v>215</v>
      </c>
      <c r="U11" s="68"/>
      <c r="V11" s="68"/>
      <c r="W11" s="68"/>
      <c r="X11" s="68"/>
      <c r="Y11" s="68"/>
      <c r="Z11" s="120" t="s">
        <v>215</v>
      </c>
      <c r="AA11" s="120" t="s">
        <v>215</v>
      </c>
      <c r="AB11" s="135" t="s">
        <v>294</v>
      </c>
      <c r="AC11" s="135" t="s">
        <v>294</v>
      </c>
      <c r="AD11" s="135" t="s">
        <v>294</v>
      </c>
      <c r="AE11" s="135" t="s">
        <v>294</v>
      </c>
      <c r="AF11" s="135" t="s">
        <v>294</v>
      </c>
      <c r="AG11" s="120" t="s">
        <v>215</v>
      </c>
      <c r="AH11" s="120" t="s">
        <v>215</v>
      </c>
      <c r="AI11" s="18">
        <v>10</v>
      </c>
      <c r="AJ11" s="19">
        <v>0</v>
      </c>
      <c r="AK11" s="20">
        <v>1</v>
      </c>
      <c r="AL11" s="21">
        <v>20</v>
      </c>
      <c r="AM11" s="22">
        <f t="shared" ref="AM11:AM15" si="0">SUM(AI11:AL11)</f>
        <v>31</v>
      </c>
    </row>
    <row r="12" spans="1:39" ht="13.5" customHeight="1" x14ac:dyDescent="0.3">
      <c r="A12" s="164"/>
      <c r="B12" s="165"/>
      <c r="C12" s="67" t="s">
        <v>4</v>
      </c>
      <c r="D12" s="68"/>
      <c r="E12" s="68"/>
      <c r="F12" s="68"/>
      <c r="G12" s="68"/>
      <c r="H12" s="24" t="s">
        <v>11</v>
      </c>
      <c r="I12" s="120" t="s">
        <v>215</v>
      </c>
      <c r="J12" s="120" t="s">
        <v>215</v>
      </c>
      <c r="K12" s="68"/>
      <c r="L12" s="68"/>
      <c r="M12" s="68"/>
      <c r="N12" s="68"/>
      <c r="O12" s="16" t="s">
        <v>45</v>
      </c>
      <c r="P12" s="120" t="s">
        <v>215</v>
      </c>
      <c r="Q12" s="120" t="s">
        <v>215</v>
      </c>
      <c r="R12" s="68"/>
      <c r="S12" s="68"/>
      <c r="T12" s="68"/>
      <c r="U12" s="68"/>
      <c r="V12" s="68"/>
      <c r="W12" s="120" t="s">
        <v>215</v>
      </c>
      <c r="X12" s="120" t="s">
        <v>215</v>
      </c>
      <c r="Y12" s="16" t="s">
        <v>157</v>
      </c>
      <c r="Z12" s="16" t="s">
        <v>157</v>
      </c>
      <c r="AA12" s="16" t="s">
        <v>157</v>
      </c>
      <c r="AB12" s="16" t="s">
        <v>157</v>
      </c>
      <c r="AC12" s="68"/>
      <c r="AD12" s="120" t="s">
        <v>215</v>
      </c>
      <c r="AE12" s="120" t="s">
        <v>215</v>
      </c>
      <c r="AF12" s="68"/>
      <c r="AG12" s="68"/>
      <c r="AH12" s="25"/>
      <c r="AI12" s="18">
        <v>8</v>
      </c>
      <c r="AJ12" s="19">
        <v>1</v>
      </c>
      <c r="AK12" s="20">
        <v>5</v>
      </c>
      <c r="AL12" s="21">
        <v>16</v>
      </c>
      <c r="AM12" s="22">
        <f t="shared" si="0"/>
        <v>30</v>
      </c>
    </row>
    <row r="13" spans="1:39" ht="13.5" customHeight="1" x14ac:dyDescent="0.3">
      <c r="A13" s="164"/>
      <c r="B13" s="165"/>
      <c r="C13" s="67" t="s">
        <v>5</v>
      </c>
      <c r="D13" s="68"/>
      <c r="E13" s="68"/>
      <c r="F13" s="68"/>
      <c r="G13" s="120" t="s">
        <v>215</v>
      </c>
      <c r="H13" s="120" t="s">
        <v>215</v>
      </c>
      <c r="I13" s="68"/>
      <c r="J13" s="68"/>
      <c r="K13" s="68"/>
      <c r="L13" s="68"/>
      <c r="M13" s="68"/>
      <c r="N13" s="120" t="s">
        <v>215</v>
      </c>
      <c r="O13" s="120" t="s">
        <v>215</v>
      </c>
      <c r="P13" s="68"/>
      <c r="Q13" s="68"/>
      <c r="R13" s="68"/>
      <c r="S13" s="68"/>
      <c r="T13" s="68"/>
      <c r="U13" s="120" t="s">
        <v>215</v>
      </c>
      <c r="V13" s="120" t="s">
        <v>215</v>
      </c>
      <c r="W13" s="68"/>
      <c r="X13" s="68"/>
      <c r="Y13" s="68"/>
      <c r="Z13" s="68"/>
      <c r="AA13" s="68"/>
      <c r="AB13" s="120" t="s">
        <v>215</v>
      </c>
      <c r="AC13" s="120" t="s">
        <v>215</v>
      </c>
      <c r="AD13" s="135" t="s">
        <v>294</v>
      </c>
      <c r="AE13" s="135" t="s">
        <v>294</v>
      </c>
      <c r="AF13" s="135" t="s">
        <v>294</v>
      </c>
      <c r="AG13" s="135" t="s">
        <v>294</v>
      </c>
      <c r="AH13" s="135" t="s">
        <v>294</v>
      </c>
      <c r="AI13" s="18">
        <v>8</v>
      </c>
      <c r="AJ13" s="19">
        <v>0</v>
      </c>
      <c r="AK13" s="20">
        <v>0</v>
      </c>
      <c r="AL13" s="21">
        <v>23</v>
      </c>
      <c r="AM13" s="22">
        <f t="shared" si="0"/>
        <v>31</v>
      </c>
    </row>
    <row r="14" spans="1:39" ht="13.5" customHeight="1" x14ac:dyDescent="0.3">
      <c r="A14" s="164"/>
      <c r="B14" s="165"/>
      <c r="C14" s="67" t="s">
        <v>6</v>
      </c>
      <c r="D14" s="120" t="s">
        <v>215</v>
      </c>
      <c r="E14" s="120" t="s">
        <v>215</v>
      </c>
      <c r="F14" s="68"/>
      <c r="G14" s="68"/>
      <c r="H14" s="68"/>
      <c r="I14" s="68"/>
      <c r="J14" s="68"/>
      <c r="K14" s="120" t="s">
        <v>215</v>
      </c>
      <c r="L14" s="120" t="s">
        <v>215</v>
      </c>
      <c r="M14" s="68"/>
      <c r="N14" s="68"/>
      <c r="O14" s="68"/>
      <c r="P14" s="68"/>
      <c r="Q14" s="68"/>
      <c r="R14" s="120" t="s">
        <v>215</v>
      </c>
      <c r="S14" s="120" t="s">
        <v>215</v>
      </c>
      <c r="T14" s="68"/>
      <c r="U14" s="68"/>
      <c r="V14" s="68"/>
      <c r="W14" s="68"/>
      <c r="X14" s="68"/>
      <c r="Y14" s="120" t="s">
        <v>215</v>
      </c>
      <c r="Z14" s="120" t="s">
        <v>215</v>
      </c>
      <c r="AA14" s="68"/>
      <c r="AB14" s="16" t="s">
        <v>45</v>
      </c>
      <c r="AC14" s="68"/>
      <c r="AD14" s="68"/>
      <c r="AE14" s="68"/>
      <c r="AF14" s="120" t="s">
        <v>215</v>
      </c>
      <c r="AG14" s="120" t="s">
        <v>215</v>
      </c>
      <c r="AH14" s="25"/>
      <c r="AI14" s="18">
        <v>10</v>
      </c>
      <c r="AJ14" s="26">
        <v>0</v>
      </c>
      <c r="AK14" s="20">
        <v>1</v>
      </c>
      <c r="AL14" s="21">
        <v>19</v>
      </c>
      <c r="AM14" s="22">
        <f t="shared" si="0"/>
        <v>30</v>
      </c>
    </row>
    <row r="15" spans="1:39" ht="13.5" customHeight="1" x14ac:dyDescent="0.3">
      <c r="A15" s="164"/>
      <c r="B15" s="165"/>
      <c r="C15" s="67" t="s">
        <v>7</v>
      </c>
      <c r="D15" s="135" t="s">
        <v>294</v>
      </c>
      <c r="E15" s="135" t="s">
        <v>294</v>
      </c>
      <c r="F15" s="135" t="s">
        <v>294</v>
      </c>
      <c r="G15" s="135" t="s">
        <v>294</v>
      </c>
      <c r="H15" s="135" t="s">
        <v>294</v>
      </c>
      <c r="I15" s="120" t="s">
        <v>215</v>
      </c>
      <c r="J15" s="120" t="s">
        <v>215</v>
      </c>
      <c r="K15" s="68" t="s">
        <v>205</v>
      </c>
      <c r="L15" s="68" t="s">
        <v>205</v>
      </c>
      <c r="M15" s="68" t="s">
        <v>205</v>
      </c>
      <c r="N15" s="68" t="s">
        <v>205</v>
      </c>
      <c r="O15" s="68" t="s">
        <v>205</v>
      </c>
      <c r="P15" s="120" t="s">
        <v>215</v>
      </c>
      <c r="Q15" s="120" t="s">
        <v>215</v>
      </c>
      <c r="R15" s="16" t="s">
        <v>205</v>
      </c>
      <c r="S15" s="16" t="s">
        <v>205</v>
      </c>
      <c r="T15" s="16" t="s">
        <v>205</v>
      </c>
      <c r="U15" s="16" t="s">
        <v>205</v>
      </c>
      <c r="V15" s="16" t="s">
        <v>205</v>
      </c>
      <c r="W15" s="120" t="s">
        <v>215</v>
      </c>
      <c r="X15" s="120" t="s">
        <v>215</v>
      </c>
      <c r="Y15" s="27" t="s">
        <v>33</v>
      </c>
      <c r="Z15" s="27" t="s">
        <v>33</v>
      </c>
      <c r="AA15" s="28" t="s">
        <v>13</v>
      </c>
      <c r="AB15" s="24" t="s">
        <v>11</v>
      </c>
      <c r="AC15" s="24" t="s">
        <v>11</v>
      </c>
      <c r="AD15" s="120" t="s">
        <v>215</v>
      </c>
      <c r="AE15" s="120" t="s">
        <v>215</v>
      </c>
      <c r="AF15" s="16" t="s">
        <v>14</v>
      </c>
      <c r="AG15" s="16" t="s">
        <v>14</v>
      </c>
      <c r="AH15" s="16" t="s">
        <v>14</v>
      </c>
      <c r="AI15" s="18">
        <v>8</v>
      </c>
      <c r="AJ15" s="26">
        <v>5</v>
      </c>
      <c r="AK15" s="20">
        <v>13</v>
      </c>
      <c r="AL15" s="21">
        <v>5</v>
      </c>
      <c r="AM15" s="22">
        <f t="shared" si="0"/>
        <v>31</v>
      </c>
    </row>
    <row r="16" spans="1:39" ht="13.5" customHeight="1" x14ac:dyDescent="0.3">
      <c r="A16" s="160" t="s">
        <v>15</v>
      </c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8">
        <f>SUM(AI10:AI15)</f>
        <v>52</v>
      </c>
      <c r="AJ16" s="26">
        <f t="shared" ref="AJ16:AM16" si="1">SUM(AJ10:AJ15)</f>
        <v>15</v>
      </c>
      <c r="AK16" s="20">
        <f t="shared" si="1"/>
        <v>25</v>
      </c>
      <c r="AL16" s="21">
        <f t="shared" si="1"/>
        <v>92</v>
      </c>
      <c r="AM16" s="22">
        <f t="shared" si="1"/>
        <v>184</v>
      </c>
    </row>
    <row r="17" spans="1:39" ht="13.5" customHeight="1" x14ac:dyDescent="0.3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</row>
    <row r="18" spans="1:39" ht="13.5" customHeight="1" x14ac:dyDescent="0.3">
      <c r="A18" s="161" t="s">
        <v>10</v>
      </c>
      <c r="B18" s="161" t="s">
        <v>41</v>
      </c>
      <c r="C18" s="161" t="s">
        <v>1</v>
      </c>
      <c r="D18" s="162" t="s">
        <v>8</v>
      </c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73" t="s">
        <v>15</v>
      </c>
      <c r="AJ18" s="174"/>
      <c r="AK18" s="174"/>
      <c r="AL18" s="174"/>
      <c r="AM18" s="175"/>
    </row>
    <row r="19" spans="1:39" ht="13.5" customHeight="1" x14ac:dyDescent="0.3">
      <c r="A19" s="161"/>
      <c r="B19" s="161"/>
      <c r="C19" s="161"/>
      <c r="D19" s="10">
        <v>1</v>
      </c>
      <c r="E19" s="10">
        <v>2</v>
      </c>
      <c r="F19" s="10">
        <v>3</v>
      </c>
      <c r="G19" s="10">
        <v>4</v>
      </c>
      <c r="H19" s="10">
        <v>5</v>
      </c>
      <c r="I19" s="10">
        <v>6</v>
      </c>
      <c r="J19" s="10">
        <v>7</v>
      </c>
      <c r="K19" s="10">
        <v>8</v>
      </c>
      <c r="L19" s="10">
        <v>9</v>
      </c>
      <c r="M19" s="10">
        <v>10</v>
      </c>
      <c r="N19" s="10">
        <v>11</v>
      </c>
      <c r="O19" s="10">
        <v>12</v>
      </c>
      <c r="P19" s="10">
        <v>13</v>
      </c>
      <c r="Q19" s="10">
        <v>14</v>
      </c>
      <c r="R19" s="10">
        <v>15</v>
      </c>
      <c r="S19" s="10">
        <v>16</v>
      </c>
      <c r="T19" s="10">
        <v>17</v>
      </c>
      <c r="U19" s="10">
        <v>18</v>
      </c>
      <c r="V19" s="10">
        <v>19</v>
      </c>
      <c r="W19" s="10">
        <v>20</v>
      </c>
      <c r="X19" s="10">
        <v>21</v>
      </c>
      <c r="Y19" s="10">
        <v>22</v>
      </c>
      <c r="Z19" s="10">
        <v>23</v>
      </c>
      <c r="AA19" s="10">
        <v>24</v>
      </c>
      <c r="AB19" s="10">
        <v>25</v>
      </c>
      <c r="AC19" s="10">
        <v>26</v>
      </c>
      <c r="AD19" s="10">
        <v>27</v>
      </c>
      <c r="AE19" s="10">
        <v>28</v>
      </c>
      <c r="AF19" s="10">
        <v>29</v>
      </c>
      <c r="AG19" s="10">
        <v>30</v>
      </c>
      <c r="AH19" s="10">
        <v>31</v>
      </c>
      <c r="AI19" s="30" t="s">
        <v>42</v>
      </c>
      <c r="AJ19" s="12" t="s">
        <v>16</v>
      </c>
      <c r="AK19" s="13" t="s">
        <v>35</v>
      </c>
      <c r="AL19" s="14" t="s">
        <v>17</v>
      </c>
      <c r="AM19" s="15" t="s">
        <v>34</v>
      </c>
    </row>
    <row r="20" spans="1:39" ht="13.5" customHeight="1" x14ac:dyDescent="0.3">
      <c r="A20" s="164">
        <v>2026</v>
      </c>
      <c r="B20" s="165" t="s">
        <v>18</v>
      </c>
      <c r="C20" s="67" t="s">
        <v>19</v>
      </c>
      <c r="D20" s="24" t="s">
        <v>11</v>
      </c>
      <c r="E20" s="16" t="s">
        <v>14</v>
      </c>
      <c r="F20" s="120" t="s">
        <v>215</v>
      </c>
      <c r="G20" s="120" t="s">
        <v>215</v>
      </c>
      <c r="H20" s="16" t="s">
        <v>14</v>
      </c>
      <c r="I20" s="16" t="s">
        <v>14</v>
      </c>
      <c r="J20" s="16" t="s">
        <v>14</v>
      </c>
      <c r="K20" s="16" t="s">
        <v>14</v>
      </c>
      <c r="L20" s="16" t="s">
        <v>14</v>
      </c>
      <c r="M20" s="120" t="s">
        <v>215</v>
      </c>
      <c r="N20" s="120" t="s">
        <v>215</v>
      </c>
      <c r="O20" s="17"/>
      <c r="P20" s="31"/>
      <c r="Q20" s="31"/>
      <c r="R20" s="31"/>
      <c r="S20" s="24" t="s">
        <v>11</v>
      </c>
      <c r="T20" s="120" t="s">
        <v>215</v>
      </c>
      <c r="U20" s="120" t="s">
        <v>215</v>
      </c>
      <c r="V20" s="16" t="s">
        <v>45</v>
      </c>
      <c r="W20" s="31"/>
      <c r="X20" s="31"/>
      <c r="Y20" s="31"/>
      <c r="Z20" s="31"/>
      <c r="AA20" s="120" t="s">
        <v>215</v>
      </c>
      <c r="AB20" s="120" t="s">
        <v>215</v>
      </c>
      <c r="AC20" s="31"/>
      <c r="AD20" s="31"/>
      <c r="AE20" s="31"/>
      <c r="AF20" s="31"/>
      <c r="AG20" s="31"/>
      <c r="AH20" s="120" t="s">
        <v>215</v>
      </c>
      <c r="AI20" s="32">
        <v>9</v>
      </c>
      <c r="AJ20" s="19">
        <v>8</v>
      </c>
      <c r="AK20" s="20">
        <v>2</v>
      </c>
      <c r="AL20" s="21">
        <v>12</v>
      </c>
      <c r="AM20" s="22">
        <f>SUM(AI20:AL20)</f>
        <v>31</v>
      </c>
    </row>
    <row r="21" spans="1:39" ht="13.5" customHeight="1" x14ac:dyDescent="0.3">
      <c r="A21" s="164"/>
      <c r="B21" s="165"/>
      <c r="C21" s="67" t="s">
        <v>20</v>
      </c>
      <c r="D21" s="120" t="s">
        <v>215</v>
      </c>
      <c r="E21" s="31"/>
      <c r="F21" s="31"/>
      <c r="G21" s="31"/>
      <c r="H21" s="31"/>
      <c r="I21" s="31"/>
      <c r="J21" s="120" t="s">
        <v>215</v>
      </c>
      <c r="K21" s="120" t="s">
        <v>215</v>
      </c>
      <c r="L21" s="31"/>
      <c r="M21" s="31"/>
      <c r="N21" s="31"/>
      <c r="O21" s="31"/>
      <c r="P21" s="31"/>
      <c r="Q21" s="120" t="s">
        <v>215</v>
      </c>
      <c r="R21" s="120" t="s">
        <v>215</v>
      </c>
      <c r="S21" s="31"/>
      <c r="T21" s="24" t="s">
        <v>11</v>
      </c>
      <c r="U21" s="31"/>
      <c r="V21" s="31"/>
      <c r="W21" s="23" t="s">
        <v>12</v>
      </c>
      <c r="X21" s="120" t="s">
        <v>215</v>
      </c>
      <c r="Y21" s="120" t="s">
        <v>215</v>
      </c>
      <c r="Z21" s="23" t="s">
        <v>12</v>
      </c>
      <c r="AA21" s="135" t="s">
        <v>294</v>
      </c>
      <c r="AB21" s="135" t="s">
        <v>294</v>
      </c>
      <c r="AC21" s="135" t="s">
        <v>294</v>
      </c>
      <c r="AD21" s="135" t="s">
        <v>294</v>
      </c>
      <c r="AE21" s="120" t="s">
        <v>215</v>
      </c>
      <c r="AF21" s="33"/>
      <c r="AG21" s="33"/>
      <c r="AH21" s="33"/>
      <c r="AI21" s="32">
        <v>8</v>
      </c>
      <c r="AJ21" s="19">
        <v>3</v>
      </c>
      <c r="AK21" s="20">
        <v>0</v>
      </c>
      <c r="AL21" s="21">
        <v>17</v>
      </c>
      <c r="AM21" s="22">
        <f t="shared" ref="AM21:AM25" si="2">SUM(AI21:AL21)</f>
        <v>28</v>
      </c>
    </row>
    <row r="22" spans="1:39" ht="13.5" customHeight="1" x14ac:dyDescent="0.3">
      <c r="A22" s="164"/>
      <c r="B22" s="165"/>
      <c r="C22" s="67" t="s">
        <v>21</v>
      </c>
      <c r="D22" s="120" t="s">
        <v>215</v>
      </c>
      <c r="E22" s="31"/>
      <c r="F22" s="31"/>
      <c r="G22" s="31"/>
      <c r="H22" s="31"/>
      <c r="I22" s="31"/>
      <c r="J22" s="120" t="s">
        <v>215</v>
      </c>
      <c r="K22" s="120" t="s">
        <v>215</v>
      </c>
      <c r="L22" s="16" t="s">
        <v>207</v>
      </c>
      <c r="M22" s="16" t="s">
        <v>207</v>
      </c>
      <c r="N22" s="16" t="s">
        <v>207</v>
      </c>
      <c r="O22" s="16" t="s">
        <v>207</v>
      </c>
      <c r="P22" s="16" t="s">
        <v>207</v>
      </c>
      <c r="Q22" s="120" t="s">
        <v>215</v>
      </c>
      <c r="R22" s="120" t="s">
        <v>215</v>
      </c>
      <c r="S22" s="23" t="s">
        <v>12</v>
      </c>
      <c r="T22" s="23" t="s">
        <v>12</v>
      </c>
      <c r="U22" s="23" t="s">
        <v>12</v>
      </c>
      <c r="V22" s="24" t="s">
        <v>11</v>
      </c>
      <c r="W22" s="23" t="s">
        <v>12</v>
      </c>
      <c r="X22" s="120" t="s">
        <v>215</v>
      </c>
      <c r="Y22" s="120" t="s">
        <v>215</v>
      </c>
      <c r="Z22" s="23" t="s">
        <v>12</v>
      </c>
      <c r="AA22" s="23" t="s">
        <v>12</v>
      </c>
      <c r="AB22" s="23" t="s">
        <v>12</v>
      </c>
      <c r="AC22" s="23" t="s">
        <v>12</v>
      </c>
      <c r="AD22" s="23" t="s">
        <v>12</v>
      </c>
      <c r="AE22" s="120" t="s">
        <v>215</v>
      </c>
      <c r="AF22" s="120" t="s">
        <v>215</v>
      </c>
      <c r="AG22" s="31"/>
      <c r="AH22" s="31"/>
      <c r="AI22" s="32">
        <v>9</v>
      </c>
      <c r="AJ22" s="19">
        <v>10</v>
      </c>
      <c r="AK22" s="20">
        <v>5</v>
      </c>
      <c r="AL22" s="21">
        <v>7</v>
      </c>
      <c r="AM22" s="22">
        <f t="shared" si="2"/>
        <v>31</v>
      </c>
    </row>
    <row r="23" spans="1:39" ht="13.5" customHeight="1" x14ac:dyDescent="0.3">
      <c r="A23" s="164"/>
      <c r="B23" s="165"/>
      <c r="C23" s="67" t="s">
        <v>22</v>
      </c>
      <c r="D23" s="31"/>
      <c r="E23" s="31"/>
      <c r="F23" s="24" t="s">
        <v>11</v>
      </c>
      <c r="G23" s="120" t="s">
        <v>215</v>
      </c>
      <c r="H23" s="120" t="s">
        <v>215</v>
      </c>
      <c r="I23" s="31"/>
      <c r="J23" s="31"/>
      <c r="K23" s="31"/>
      <c r="L23" s="31"/>
      <c r="M23" s="31"/>
      <c r="N23" s="120" t="s">
        <v>215</v>
      </c>
      <c r="O23" s="120" t="s">
        <v>215</v>
      </c>
      <c r="P23" s="135" t="s">
        <v>294</v>
      </c>
      <c r="Q23" s="135" t="s">
        <v>294</v>
      </c>
      <c r="R23" s="135" t="s">
        <v>294</v>
      </c>
      <c r="S23" s="135" t="s">
        <v>294</v>
      </c>
      <c r="T23" s="135" t="s">
        <v>294</v>
      </c>
      <c r="U23" s="120" t="s">
        <v>215</v>
      </c>
      <c r="V23" s="120" t="s">
        <v>215</v>
      </c>
      <c r="W23" s="123" t="s">
        <v>205</v>
      </c>
      <c r="X23" s="123" t="s">
        <v>205</v>
      </c>
      <c r="Y23" s="123" t="s">
        <v>205</v>
      </c>
      <c r="Z23" s="123" t="s">
        <v>205</v>
      </c>
      <c r="AA23" s="123" t="s">
        <v>205</v>
      </c>
      <c r="AB23" s="120" t="s">
        <v>215</v>
      </c>
      <c r="AC23" s="120" t="s">
        <v>215</v>
      </c>
      <c r="AD23" s="124" t="s">
        <v>205</v>
      </c>
      <c r="AE23" s="124" t="s">
        <v>205</v>
      </c>
      <c r="AF23" s="124" t="s">
        <v>205</v>
      </c>
      <c r="AG23" s="124" t="s">
        <v>205</v>
      </c>
      <c r="AH23" s="33"/>
      <c r="AI23" s="32">
        <v>8</v>
      </c>
      <c r="AJ23" s="26">
        <v>1</v>
      </c>
      <c r="AK23" s="20">
        <v>0</v>
      </c>
      <c r="AL23" s="21">
        <v>21</v>
      </c>
      <c r="AM23" s="22">
        <f t="shared" si="2"/>
        <v>30</v>
      </c>
    </row>
    <row r="24" spans="1:39" ht="13.5" customHeight="1" x14ac:dyDescent="0.3">
      <c r="A24" s="164"/>
      <c r="B24" s="165"/>
      <c r="C24" s="67" t="s">
        <v>23</v>
      </c>
      <c r="D24" s="24" t="s">
        <v>11</v>
      </c>
      <c r="E24" s="120" t="s">
        <v>215</v>
      </c>
      <c r="F24" s="120" t="s">
        <v>215</v>
      </c>
      <c r="G24" s="112"/>
      <c r="H24" s="112"/>
      <c r="I24" s="112"/>
      <c r="J24" s="112"/>
      <c r="K24" s="112"/>
      <c r="L24" s="120" t="s">
        <v>215</v>
      </c>
      <c r="M24" s="120" t="s">
        <v>215</v>
      </c>
      <c r="N24" s="112" t="s">
        <v>231</v>
      </c>
      <c r="O24" s="112" t="s">
        <v>231</v>
      </c>
      <c r="P24" s="112" t="s">
        <v>231</v>
      </c>
      <c r="Q24" s="112" t="s">
        <v>231</v>
      </c>
      <c r="R24" s="112" t="s">
        <v>231</v>
      </c>
      <c r="S24" s="120" t="s">
        <v>215</v>
      </c>
      <c r="T24" s="120" t="s">
        <v>215</v>
      </c>
      <c r="U24" s="125" t="s">
        <v>231</v>
      </c>
      <c r="V24" s="125" t="s">
        <v>231</v>
      </c>
      <c r="W24" s="125" t="s">
        <v>231</v>
      </c>
      <c r="X24" s="125" t="s">
        <v>231</v>
      </c>
      <c r="Y24" s="125" t="s">
        <v>231</v>
      </c>
      <c r="Z24" s="120" t="s">
        <v>215</v>
      </c>
      <c r="AA24" s="120" t="s">
        <v>215</v>
      </c>
      <c r="AB24" s="68"/>
      <c r="AC24" s="24" t="s">
        <v>11</v>
      </c>
      <c r="AD24" s="24" t="s">
        <v>11</v>
      </c>
      <c r="AE24" s="68"/>
      <c r="AF24" s="68"/>
      <c r="AG24" s="120" t="s">
        <v>215</v>
      </c>
      <c r="AH24" s="120" t="s">
        <v>215</v>
      </c>
      <c r="AI24" s="32">
        <v>10</v>
      </c>
      <c r="AJ24" s="26">
        <v>3</v>
      </c>
      <c r="AK24" s="20">
        <v>5</v>
      </c>
      <c r="AL24" s="21">
        <v>13</v>
      </c>
      <c r="AM24" s="22">
        <f t="shared" si="2"/>
        <v>31</v>
      </c>
    </row>
    <row r="25" spans="1:39" ht="13.5" customHeight="1" x14ac:dyDescent="0.3">
      <c r="A25" s="164"/>
      <c r="B25" s="165"/>
      <c r="C25" s="67" t="s">
        <v>24</v>
      </c>
      <c r="D25" s="24" t="s">
        <v>11</v>
      </c>
      <c r="E25" s="135" t="s">
        <v>294</v>
      </c>
      <c r="F25" s="135" t="s">
        <v>294</v>
      </c>
      <c r="G25" s="135" t="s">
        <v>294</v>
      </c>
      <c r="H25" s="135" t="s">
        <v>294</v>
      </c>
      <c r="I25" s="120" t="s">
        <v>215</v>
      </c>
      <c r="J25" s="120" t="s">
        <v>215</v>
      </c>
      <c r="K25" s="68" t="s">
        <v>205</v>
      </c>
      <c r="L25" s="68" t="s">
        <v>205</v>
      </c>
      <c r="M25" s="68" t="s">
        <v>205</v>
      </c>
      <c r="N25" s="68" t="s">
        <v>205</v>
      </c>
      <c r="O25" s="68" t="s">
        <v>205</v>
      </c>
      <c r="P25" s="120" t="s">
        <v>215</v>
      </c>
      <c r="Q25" s="120" t="s">
        <v>215</v>
      </c>
      <c r="R25" s="16" t="s">
        <v>205</v>
      </c>
      <c r="S25" s="24" t="s">
        <v>11</v>
      </c>
      <c r="T25" s="16" t="s">
        <v>205</v>
      </c>
      <c r="U25" s="16" t="s">
        <v>205</v>
      </c>
      <c r="V25" s="16" t="s">
        <v>205</v>
      </c>
      <c r="W25" s="120" t="s">
        <v>215</v>
      </c>
      <c r="X25" s="120" t="s">
        <v>215</v>
      </c>
      <c r="Y25" s="27" t="s">
        <v>33</v>
      </c>
      <c r="Z25" s="27" t="s">
        <v>33</v>
      </c>
      <c r="AA25" s="27" t="s">
        <v>33</v>
      </c>
      <c r="AB25" s="27" t="s">
        <v>33</v>
      </c>
      <c r="AC25" s="28" t="s">
        <v>13</v>
      </c>
      <c r="AD25" s="120" t="s">
        <v>215</v>
      </c>
      <c r="AE25" s="120" t="s">
        <v>215</v>
      </c>
      <c r="AF25" s="16" t="s">
        <v>14</v>
      </c>
      <c r="AG25" s="16" t="s">
        <v>14</v>
      </c>
      <c r="AH25" s="33"/>
      <c r="AI25" s="32">
        <v>8</v>
      </c>
      <c r="AJ25" s="26">
        <v>4</v>
      </c>
      <c r="AK25" s="20">
        <v>14</v>
      </c>
      <c r="AL25" s="21">
        <v>4</v>
      </c>
      <c r="AM25" s="22">
        <f t="shared" si="2"/>
        <v>30</v>
      </c>
    </row>
    <row r="26" spans="1:39" ht="13.5" customHeight="1" x14ac:dyDescent="0.3">
      <c r="A26" s="160" t="s">
        <v>15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32">
        <f>SUM(AI20:AI25)</f>
        <v>52</v>
      </c>
      <c r="AJ26" s="26">
        <f t="shared" ref="AJ26:AM26" si="3">SUM(AJ20:AJ25)</f>
        <v>29</v>
      </c>
      <c r="AK26" s="20">
        <f t="shared" si="3"/>
        <v>26</v>
      </c>
      <c r="AL26" s="21">
        <f t="shared" si="3"/>
        <v>74</v>
      </c>
      <c r="AM26" s="22">
        <f t="shared" si="3"/>
        <v>181</v>
      </c>
    </row>
    <row r="27" spans="1:39" ht="13.5" customHeight="1" x14ac:dyDescent="0.3">
      <c r="A27" s="166" t="s">
        <v>25</v>
      </c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32">
        <f>AI26+AI16</f>
        <v>104</v>
      </c>
      <c r="AJ27" s="26">
        <f t="shared" ref="AJ27:AL27" si="4">AJ26+AJ16</f>
        <v>44</v>
      </c>
      <c r="AK27" s="20">
        <f t="shared" si="4"/>
        <v>51</v>
      </c>
      <c r="AL27" s="21">
        <f t="shared" si="4"/>
        <v>166</v>
      </c>
      <c r="AM27" s="22">
        <f>AM26+AM16</f>
        <v>365</v>
      </c>
    </row>
    <row r="28" spans="1:39" ht="9.75" customHeight="1" x14ac:dyDescent="0.3"/>
    <row r="29" spans="1:39" ht="13.5" customHeight="1" x14ac:dyDescent="0.3">
      <c r="B29" s="1" t="s">
        <v>26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  <c r="AD29" t="s">
        <v>229</v>
      </c>
    </row>
    <row r="30" spans="1:39" ht="12" customHeight="1" x14ac:dyDescent="0.3">
      <c r="B30" s="4" t="s">
        <v>213</v>
      </c>
      <c r="K30" s="163" t="s">
        <v>214</v>
      </c>
      <c r="L30" s="163"/>
      <c r="N30" t="s">
        <v>236</v>
      </c>
      <c r="X30" s="176" t="s">
        <v>205</v>
      </c>
      <c r="Y30" s="177"/>
      <c r="AA30" s="5"/>
      <c r="AD30" t="s">
        <v>30</v>
      </c>
    </row>
    <row r="31" spans="1:39" ht="12" customHeight="1" x14ac:dyDescent="0.3">
      <c r="B31" s="4" t="s">
        <v>151</v>
      </c>
      <c r="K31" s="172" t="s">
        <v>87</v>
      </c>
      <c r="L31" s="172"/>
      <c r="N31" t="s">
        <v>237</v>
      </c>
      <c r="X31" s="178" t="s">
        <v>205</v>
      </c>
      <c r="Y31" s="179"/>
      <c r="AA31" s="5"/>
      <c r="AD31" t="s">
        <v>155</v>
      </c>
    </row>
    <row r="32" spans="1:39" ht="12" customHeight="1" x14ac:dyDescent="0.3">
      <c r="B32" s="4" t="s">
        <v>28</v>
      </c>
      <c r="K32" s="171" t="s">
        <v>11</v>
      </c>
      <c r="L32" s="171"/>
      <c r="N32" s="113" t="s">
        <v>206</v>
      </c>
      <c r="W32" s="5"/>
      <c r="X32" s="180" t="s">
        <v>207</v>
      </c>
      <c r="Y32" s="181"/>
      <c r="AA32" s="5"/>
    </row>
    <row r="33" spans="2:30" ht="12" customHeight="1" x14ac:dyDescent="0.3">
      <c r="B33" s="4" t="s">
        <v>29</v>
      </c>
      <c r="K33" s="159" t="s">
        <v>14</v>
      </c>
      <c r="L33" s="159"/>
      <c r="N33" s="5" t="s">
        <v>31</v>
      </c>
      <c r="O33" s="4"/>
      <c r="X33" s="167" t="s">
        <v>12</v>
      </c>
      <c r="Y33" s="168"/>
      <c r="AA33" s="5"/>
    </row>
    <row r="34" spans="2:30" ht="12" customHeight="1" x14ac:dyDescent="0.3">
      <c r="B34" s="4" t="s">
        <v>208</v>
      </c>
      <c r="K34" s="182"/>
      <c r="L34" s="182"/>
      <c r="N34" t="s">
        <v>293</v>
      </c>
      <c r="X34" s="149" t="s">
        <v>294</v>
      </c>
      <c r="Y34" s="150"/>
      <c r="AA34" s="5"/>
    </row>
    <row r="35" spans="2:30" ht="12" customHeight="1" x14ac:dyDescent="0.3">
      <c r="B35" s="4" t="s">
        <v>209</v>
      </c>
      <c r="K35" s="183"/>
      <c r="L35" s="183"/>
      <c r="N35" t="s">
        <v>27</v>
      </c>
      <c r="X35" s="151" t="s">
        <v>13</v>
      </c>
      <c r="Y35" s="152"/>
      <c r="AA35" s="5"/>
    </row>
    <row r="36" spans="2:30" ht="12" customHeight="1" x14ac:dyDescent="0.3">
      <c r="B36" s="4" t="s">
        <v>232</v>
      </c>
      <c r="K36" s="187" t="s">
        <v>231</v>
      </c>
      <c r="L36" s="187"/>
      <c r="N36" t="s">
        <v>32</v>
      </c>
      <c r="X36" s="153" t="s">
        <v>33</v>
      </c>
      <c r="Y36" s="154"/>
      <c r="AA36" s="5"/>
    </row>
    <row r="37" spans="2:30" ht="12" customHeight="1" x14ac:dyDescent="0.3">
      <c r="B37" s="4" t="s">
        <v>233</v>
      </c>
      <c r="K37" s="184" t="s">
        <v>231</v>
      </c>
      <c r="L37" s="184"/>
      <c r="N37" t="s">
        <v>36</v>
      </c>
      <c r="X37" s="155" t="s">
        <v>42</v>
      </c>
      <c r="Y37" s="156"/>
      <c r="AA37" s="5"/>
    </row>
    <row r="38" spans="2:30" ht="12" customHeight="1" x14ac:dyDescent="0.3">
      <c r="B38" s="4" t="s">
        <v>81</v>
      </c>
      <c r="K38" s="185" t="s">
        <v>45</v>
      </c>
      <c r="L38" s="186"/>
      <c r="N38" t="s">
        <v>37</v>
      </c>
      <c r="X38" s="157" t="s">
        <v>16</v>
      </c>
      <c r="Y38" s="158"/>
      <c r="AA38" s="5"/>
      <c r="AD38" s="8" t="s">
        <v>43</v>
      </c>
    </row>
    <row r="39" spans="2:30" ht="12" customHeight="1" x14ac:dyDescent="0.3">
      <c r="B39" s="4" t="s">
        <v>156</v>
      </c>
      <c r="K39" s="185" t="s">
        <v>157</v>
      </c>
      <c r="L39" s="186"/>
      <c r="N39" t="s">
        <v>38</v>
      </c>
      <c r="X39" s="143" t="s">
        <v>35</v>
      </c>
      <c r="Y39" s="144"/>
      <c r="AA39" s="5"/>
      <c r="AD39" t="s">
        <v>44</v>
      </c>
    </row>
    <row r="40" spans="2:30" ht="14.4" customHeight="1" x14ac:dyDescent="0.3">
      <c r="B40" s="121" t="s">
        <v>234</v>
      </c>
      <c r="K40" s="188" t="s">
        <v>205</v>
      </c>
      <c r="L40" s="189"/>
      <c r="N40" t="s">
        <v>39</v>
      </c>
      <c r="X40" s="145" t="s">
        <v>17</v>
      </c>
      <c r="Y40" s="146"/>
      <c r="AA40" s="5"/>
    </row>
    <row r="41" spans="2:30" ht="14.4" customHeight="1" x14ac:dyDescent="0.3">
      <c r="B41" s="122" t="s">
        <v>235</v>
      </c>
      <c r="C41" s="6"/>
      <c r="D41" s="6"/>
      <c r="E41" s="6"/>
      <c r="F41" s="6"/>
      <c r="G41" s="6"/>
      <c r="H41" s="6"/>
      <c r="I41" s="6"/>
      <c r="J41" s="6"/>
      <c r="K41" s="180" t="s">
        <v>205</v>
      </c>
      <c r="L41" s="181"/>
      <c r="M41" s="6"/>
      <c r="N41" s="6" t="s">
        <v>40</v>
      </c>
      <c r="O41" s="6"/>
      <c r="P41" s="6"/>
      <c r="Q41" s="6"/>
      <c r="R41" s="6"/>
      <c r="S41" s="6"/>
      <c r="T41" s="6"/>
      <c r="U41" s="6"/>
      <c r="V41" s="6"/>
      <c r="W41" s="7"/>
      <c r="X41" s="147" t="s">
        <v>34</v>
      </c>
      <c r="Y41" s="148"/>
      <c r="Z41" s="6"/>
      <c r="AA41" s="7"/>
    </row>
  </sheetData>
  <mergeCells count="44">
    <mergeCell ref="A10:A15"/>
    <mergeCell ref="B10:B15"/>
    <mergeCell ref="A16:AH16"/>
    <mergeCell ref="A18:A19"/>
    <mergeCell ref="K39:L39"/>
    <mergeCell ref="A26:AH26"/>
    <mergeCell ref="A27:AH27"/>
    <mergeCell ref="K32:L32"/>
    <mergeCell ref="X32:Y32"/>
    <mergeCell ref="K33:L33"/>
    <mergeCell ref="K34:L34"/>
    <mergeCell ref="K36:L36"/>
    <mergeCell ref="K37:L37"/>
    <mergeCell ref="K38:L38"/>
    <mergeCell ref="K30:L30"/>
    <mergeCell ref="A4:AL4"/>
    <mergeCell ref="A5:AL5"/>
    <mergeCell ref="A6:AL6"/>
    <mergeCell ref="A8:A9"/>
    <mergeCell ref="B8:B9"/>
    <mergeCell ref="C8:C9"/>
    <mergeCell ref="D8:AH8"/>
    <mergeCell ref="AI8:AM8"/>
    <mergeCell ref="AI18:AM18"/>
    <mergeCell ref="B18:B19"/>
    <mergeCell ref="C18:C19"/>
    <mergeCell ref="D18:AH18"/>
    <mergeCell ref="A20:A25"/>
    <mergeCell ref="B20:B25"/>
    <mergeCell ref="K40:L40"/>
    <mergeCell ref="K41:L41"/>
    <mergeCell ref="X30:Y30"/>
    <mergeCell ref="K31:L31"/>
    <mergeCell ref="X31:Y31"/>
    <mergeCell ref="K35:L35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</mergeCells>
  <pageMargins left="0.39370078740157483" right="0.19685039370078741" top="0.39370078740157483" bottom="0.19685039370078741" header="0.31496062992125984" footer="0.31496062992125984"/>
  <pageSetup paperSize="9" orientation="landscape" horizontalDpi="4294967293" verticalDpi="96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5"/>
  <sheetViews>
    <sheetView workbookViewId="0">
      <selection activeCell="A8" sqref="A8"/>
    </sheetView>
  </sheetViews>
  <sheetFormatPr defaultRowHeight="14.4" x14ac:dyDescent="0.3"/>
  <cols>
    <col min="1" max="1" width="2.109375" customWidth="1"/>
    <col min="2" max="2" width="5.88671875" customWidth="1"/>
    <col min="3" max="3" width="15.6640625" customWidth="1"/>
    <col min="4" max="9" width="17.109375" customWidth="1"/>
    <col min="10" max="10" width="2.88671875" customWidth="1"/>
  </cols>
  <sheetData>
    <row r="1" spans="1:10" x14ac:dyDescent="0.3">
      <c r="A1" s="60"/>
      <c r="B1" s="139" t="s">
        <v>113</v>
      </c>
      <c r="C1" s="139"/>
      <c r="D1" s="139"/>
      <c r="E1" s="139"/>
      <c r="F1" s="139"/>
      <c r="G1" s="139"/>
      <c r="H1" s="139"/>
      <c r="I1" s="139"/>
      <c r="J1" s="72"/>
    </row>
    <row r="2" spans="1:10" x14ac:dyDescent="0.3">
      <c r="A2" s="60"/>
      <c r="B2" s="139" t="s">
        <v>119</v>
      </c>
      <c r="C2" s="139"/>
      <c r="D2" s="139"/>
      <c r="E2" s="139"/>
      <c r="F2" s="139"/>
      <c r="G2" s="139"/>
      <c r="H2" s="139"/>
      <c r="I2" s="139"/>
      <c r="J2" s="72"/>
    </row>
    <row r="3" spans="1:10" x14ac:dyDescent="0.3">
      <c r="A3" s="60"/>
      <c r="B3" s="139" t="s">
        <v>125</v>
      </c>
      <c r="C3" s="139"/>
      <c r="D3" s="139"/>
      <c r="E3" s="139"/>
      <c r="F3" s="139"/>
      <c r="G3" s="139"/>
      <c r="H3" s="139"/>
      <c r="I3" s="139"/>
      <c r="J3" s="72"/>
    </row>
    <row r="4" spans="1:10" x14ac:dyDescent="0.3">
      <c r="A4" s="60"/>
      <c r="B4" s="60"/>
      <c r="C4" s="60"/>
      <c r="D4" s="60"/>
      <c r="E4" s="60"/>
      <c r="F4" s="60"/>
      <c r="G4" s="60"/>
      <c r="H4" s="60"/>
      <c r="I4" s="60"/>
      <c r="J4" s="60"/>
    </row>
    <row r="5" spans="1:10" ht="27.6" x14ac:dyDescent="0.3">
      <c r="A5" s="60"/>
      <c r="B5" s="65" t="s">
        <v>111</v>
      </c>
      <c r="C5" s="66" t="s">
        <v>112</v>
      </c>
      <c r="D5" s="66" t="s">
        <v>46</v>
      </c>
      <c r="E5" s="66" t="s">
        <v>47</v>
      </c>
      <c r="F5" s="66" t="s">
        <v>48</v>
      </c>
      <c r="G5" s="66" t="s">
        <v>49</v>
      </c>
      <c r="H5" s="66" t="s">
        <v>110</v>
      </c>
      <c r="I5" s="66" t="s">
        <v>51</v>
      </c>
      <c r="J5" s="73"/>
    </row>
    <row r="6" spans="1:10" x14ac:dyDescent="0.3">
      <c r="A6" s="60"/>
      <c r="B6" s="61"/>
      <c r="C6" s="62" t="s">
        <v>139</v>
      </c>
      <c r="D6" s="61" t="s">
        <v>115</v>
      </c>
      <c r="E6" s="61" t="s">
        <v>115</v>
      </c>
      <c r="F6" s="61" t="s">
        <v>115</v>
      </c>
      <c r="G6" s="61" t="s">
        <v>115</v>
      </c>
      <c r="H6" s="61" t="s">
        <v>115</v>
      </c>
      <c r="I6" s="61" t="s">
        <v>115</v>
      </c>
      <c r="J6" s="60"/>
    </row>
    <row r="7" spans="1:10" x14ac:dyDescent="0.3">
      <c r="A7" s="60"/>
      <c r="B7" s="61">
        <v>1</v>
      </c>
      <c r="C7" s="62" t="s">
        <v>140</v>
      </c>
      <c r="D7" s="61" t="s">
        <v>118</v>
      </c>
      <c r="E7" s="61" t="s">
        <v>116</v>
      </c>
      <c r="F7" s="61" t="s">
        <v>116</v>
      </c>
      <c r="G7" s="61" t="s">
        <v>62</v>
      </c>
      <c r="H7" s="61" t="s">
        <v>138</v>
      </c>
      <c r="I7" s="61" t="s">
        <v>116</v>
      </c>
      <c r="J7" s="60"/>
    </row>
    <row r="8" spans="1:10" x14ac:dyDescent="0.3">
      <c r="A8" s="60"/>
      <c r="B8" s="61">
        <v>2</v>
      </c>
      <c r="C8" s="62" t="s">
        <v>141</v>
      </c>
      <c r="D8" s="61" t="s">
        <v>62</v>
      </c>
      <c r="E8" s="61" t="s">
        <v>116</v>
      </c>
      <c r="F8" s="61" t="s">
        <v>116</v>
      </c>
      <c r="G8" s="61" t="s">
        <v>62</v>
      </c>
      <c r="H8" s="61" t="s">
        <v>116</v>
      </c>
      <c r="I8" s="61" t="s">
        <v>116</v>
      </c>
      <c r="J8" s="60"/>
    </row>
    <row r="9" spans="1:10" x14ac:dyDescent="0.3">
      <c r="A9" s="60"/>
      <c r="B9" s="61">
        <v>3</v>
      </c>
      <c r="C9" s="62" t="s">
        <v>142</v>
      </c>
      <c r="D9" s="61" t="s">
        <v>62</v>
      </c>
      <c r="E9" s="61" t="s">
        <v>122</v>
      </c>
      <c r="F9" s="61" t="s">
        <v>116</v>
      </c>
      <c r="G9" s="61" t="s">
        <v>116</v>
      </c>
      <c r="H9" s="61" t="s">
        <v>116</v>
      </c>
      <c r="I9" s="61" t="s">
        <v>122</v>
      </c>
      <c r="J9" s="60"/>
    </row>
    <row r="10" spans="1:10" x14ac:dyDescent="0.3">
      <c r="A10" s="60"/>
      <c r="B10" s="61">
        <v>4</v>
      </c>
      <c r="C10" s="62" t="s">
        <v>143</v>
      </c>
      <c r="D10" s="61" t="s">
        <v>116</v>
      </c>
      <c r="E10" s="61" t="s">
        <v>122</v>
      </c>
      <c r="F10" s="61" t="s">
        <v>116</v>
      </c>
      <c r="G10" s="61" t="s">
        <v>116</v>
      </c>
      <c r="H10" s="61" t="s">
        <v>116</v>
      </c>
      <c r="I10" s="61" t="s">
        <v>122</v>
      </c>
      <c r="J10" s="60"/>
    </row>
    <row r="11" spans="1:10" x14ac:dyDescent="0.3">
      <c r="A11" s="60"/>
      <c r="B11" s="61"/>
      <c r="C11" s="63" t="s">
        <v>144</v>
      </c>
      <c r="D11" s="64" t="s">
        <v>114</v>
      </c>
      <c r="E11" s="64" t="s">
        <v>114</v>
      </c>
      <c r="F11" s="64" t="s">
        <v>114</v>
      </c>
      <c r="G11" s="64" t="s">
        <v>114</v>
      </c>
      <c r="H11" s="64" t="s">
        <v>114</v>
      </c>
      <c r="I11" s="64" t="s">
        <v>114</v>
      </c>
      <c r="J11" s="74"/>
    </row>
    <row r="12" spans="1:10" x14ac:dyDescent="0.3">
      <c r="A12" s="60"/>
      <c r="B12" s="61">
        <v>5</v>
      </c>
      <c r="C12" s="62" t="s">
        <v>145</v>
      </c>
      <c r="D12" s="61" t="s">
        <v>116</v>
      </c>
      <c r="E12" s="61" t="s">
        <v>116</v>
      </c>
      <c r="F12" s="61" t="s">
        <v>116</v>
      </c>
      <c r="G12" s="61" t="s">
        <v>116</v>
      </c>
      <c r="H12" s="61" t="s">
        <v>116</v>
      </c>
      <c r="I12" s="61" t="s">
        <v>116</v>
      </c>
      <c r="J12" s="60"/>
    </row>
    <row r="13" spans="1:10" x14ac:dyDescent="0.3">
      <c r="A13" s="60"/>
      <c r="B13" s="61">
        <v>6</v>
      </c>
      <c r="C13" s="62" t="s">
        <v>146</v>
      </c>
      <c r="D13" s="61" t="s">
        <v>116</v>
      </c>
      <c r="E13" s="61" t="s">
        <v>116</v>
      </c>
      <c r="F13" s="61" t="s">
        <v>116</v>
      </c>
      <c r="G13" s="61" t="s">
        <v>116</v>
      </c>
      <c r="H13" s="61"/>
      <c r="I13" s="61"/>
      <c r="J13" s="60"/>
    </row>
    <row r="14" spans="1:10" x14ac:dyDescent="0.3">
      <c r="A14" s="60"/>
      <c r="B14" s="61">
        <v>7</v>
      </c>
      <c r="C14" s="62" t="s">
        <v>147</v>
      </c>
      <c r="D14" s="61"/>
      <c r="E14" s="61"/>
      <c r="F14" s="61"/>
      <c r="G14" s="61"/>
      <c r="H14" s="61"/>
      <c r="I14" s="61"/>
      <c r="J14" s="60"/>
    </row>
    <row r="15" spans="1:10" x14ac:dyDescent="0.3">
      <c r="A15" s="60"/>
      <c r="B15" s="60"/>
      <c r="C15" s="60"/>
      <c r="D15" s="60"/>
      <c r="E15" s="60"/>
      <c r="F15" s="60"/>
      <c r="G15" s="60"/>
      <c r="H15" s="60"/>
      <c r="I15" s="60"/>
      <c r="J15" s="60"/>
    </row>
    <row r="16" spans="1:10" x14ac:dyDescent="0.3">
      <c r="A16" s="60"/>
      <c r="B16" s="60"/>
      <c r="C16" s="60"/>
      <c r="D16" s="60"/>
      <c r="E16" s="60"/>
      <c r="F16" s="60"/>
      <c r="G16" s="60"/>
      <c r="H16" s="60"/>
      <c r="I16" s="60"/>
      <c r="J16" s="60"/>
    </row>
    <row r="17" spans="1:10" x14ac:dyDescent="0.3">
      <c r="A17" s="60"/>
      <c r="B17" s="60"/>
      <c r="C17" s="60"/>
      <c r="D17" s="60"/>
      <c r="E17" s="60"/>
      <c r="F17" s="60"/>
      <c r="G17" s="60"/>
      <c r="H17" s="60"/>
      <c r="I17" s="60"/>
      <c r="J17" s="60"/>
    </row>
    <row r="18" spans="1:10" x14ac:dyDescent="0.3">
      <c r="A18" s="60"/>
      <c r="B18" s="139" t="s">
        <v>113</v>
      </c>
      <c r="C18" s="139"/>
      <c r="D18" s="139"/>
      <c r="E18" s="139"/>
      <c r="F18" s="139"/>
      <c r="G18" s="139"/>
      <c r="H18" s="139"/>
      <c r="I18" s="139"/>
      <c r="J18" s="72"/>
    </row>
    <row r="19" spans="1:10" x14ac:dyDescent="0.3">
      <c r="A19" s="60"/>
      <c r="B19" s="139" t="s">
        <v>119</v>
      </c>
      <c r="C19" s="139"/>
      <c r="D19" s="139"/>
      <c r="E19" s="139"/>
      <c r="F19" s="139"/>
      <c r="G19" s="139"/>
      <c r="H19" s="139"/>
      <c r="I19" s="139"/>
      <c r="J19" s="72"/>
    </row>
    <row r="20" spans="1:10" x14ac:dyDescent="0.3">
      <c r="A20" s="60"/>
      <c r="B20" s="139" t="s">
        <v>76</v>
      </c>
      <c r="C20" s="139"/>
      <c r="D20" s="139"/>
      <c r="E20" s="139"/>
      <c r="F20" s="139"/>
      <c r="G20" s="139"/>
      <c r="H20" s="139"/>
      <c r="I20" s="139"/>
      <c r="J20" s="72"/>
    </row>
    <row r="21" spans="1:10" x14ac:dyDescent="0.3">
      <c r="A21" s="60"/>
      <c r="B21" s="60"/>
      <c r="C21" s="60"/>
      <c r="D21" s="60"/>
      <c r="E21" s="60"/>
      <c r="F21" s="60"/>
      <c r="G21" s="60"/>
      <c r="H21" s="60"/>
      <c r="I21" s="60"/>
      <c r="J21" s="60"/>
    </row>
    <row r="22" spans="1:10" ht="27.6" x14ac:dyDescent="0.3">
      <c r="A22" s="60"/>
      <c r="B22" s="65" t="s">
        <v>111</v>
      </c>
      <c r="C22" s="66" t="s">
        <v>112</v>
      </c>
      <c r="D22" s="66" t="s">
        <v>46</v>
      </c>
      <c r="E22" s="66" t="s">
        <v>47</v>
      </c>
      <c r="F22" s="66" t="s">
        <v>48</v>
      </c>
      <c r="G22" s="66" t="s">
        <v>49</v>
      </c>
      <c r="H22" s="66" t="s">
        <v>110</v>
      </c>
      <c r="I22" s="66" t="s">
        <v>51</v>
      </c>
      <c r="J22" s="73"/>
    </row>
    <row r="23" spans="1:10" x14ac:dyDescent="0.3">
      <c r="A23" s="60"/>
      <c r="B23" s="61"/>
      <c r="C23" s="62" t="s">
        <v>139</v>
      </c>
      <c r="D23" s="61" t="s">
        <v>115</v>
      </c>
      <c r="E23" s="61" t="s">
        <v>115</v>
      </c>
      <c r="F23" s="61" t="s">
        <v>115</v>
      </c>
      <c r="G23" s="61" t="s">
        <v>115</v>
      </c>
      <c r="H23" s="61" t="s">
        <v>115</v>
      </c>
      <c r="I23" s="61" t="s">
        <v>115</v>
      </c>
      <c r="J23" s="60"/>
    </row>
    <row r="24" spans="1:10" x14ac:dyDescent="0.3">
      <c r="A24" s="60"/>
      <c r="B24" s="61">
        <v>1</v>
      </c>
      <c r="C24" s="62" t="s">
        <v>140</v>
      </c>
      <c r="D24" s="61" t="s">
        <v>118</v>
      </c>
      <c r="E24" s="61" t="s">
        <v>122</v>
      </c>
      <c r="F24" s="61" t="s">
        <v>116</v>
      </c>
      <c r="G24" s="61" t="s">
        <v>116</v>
      </c>
      <c r="H24" s="61" t="s">
        <v>138</v>
      </c>
      <c r="I24" s="61" t="s">
        <v>62</v>
      </c>
      <c r="J24" s="60"/>
    </row>
    <row r="25" spans="1:10" x14ac:dyDescent="0.3">
      <c r="A25" s="60"/>
      <c r="B25" s="61">
        <v>2</v>
      </c>
      <c r="C25" s="62" t="s">
        <v>141</v>
      </c>
      <c r="D25" s="61" t="s">
        <v>116</v>
      </c>
      <c r="E25" s="61" t="s">
        <v>122</v>
      </c>
      <c r="F25" s="61" t="s">
        <v>116</v>
      </c>
      <c r="G25" s="61" t="s">
        <v>116</v>
      </c>
      <c r="H25" s="61" t="s">
        <v>116</v>
      </c>
      <c r="I25" s="61" t="s">
        <v>62</v>
      </c>
      <c r="J25" s="60"/>
    </row>
    <row r="26" spans="1:10" x14ac:dyDescent="0.3">
      <c r="A26" s="60"/>
      <c r="B26" s="61">
        <v>3</v>
      </c>
      <c r="C26" s="62" t="s">
        <v>142</v>
      </c>
      <c r="D26" s="61" t="s">
        <v>116</v>
      </c>
      <c r="E26" s="61" t="s">
        <v>116</v>
      </c>
      <c r="F26" s="61" t="s">
        <v>116</v>
      </c>
      <c r="G26" s="61" t="s">
        <v>122</v>
      </c>
      <c r="H26" s="61" t="s">
        <v>116</v>
      </c>
      <c r="I26" s="61" t="s">
        <v>116</v>
      </c>
      <c r="J26" s="60"/>
    </row>
    <row r="27" spans="1:10" x14ac:dyDescent="0.3">
      <c r="A27" s="60"/>
      <c r="B27" s="61">
        <v>4</v>
      </c>
      <c r="C27" s="62" t="s">
        <v>143</v>
      </c>
      <c r="D27" s="61" t="s">
        <v>116</v>
      </c>
      <c r="E27" s="61" t="s">
        <v>116</v>
      </c>
      <c r="F27" s="61" t="s">
        <v>62</v>
      </c>
      <c r="G27" s="61" t="s">
        <v>122</v>
      </c>
      <c r="H27" s="61" t="s">
        <v>116</v>
      </c>
      <c r="I27" s="61" t="s">
        <v>116</v>
      </c>
      <c r="J27" s="60"/>
    </row>
    <row r="28" spans="1:10" x14ac:dyDescent="0.3">
      <c r="A28" s="60"/>
      <c r="B28" s="61"/>
      <c r="C28" s="63" t="s">
        <v>144</v>
      </c>
      <c r="D28" s="64" t="s">
        <v>114</v>
      </c>
      <c r="E28" s="64" t="s">
        <v>114</v>
      </c>
      <c r="F28" s="64" t="s">
        <v>114</v>
      </c>
      <c r="G28" s="64" t="s">
        <v>114</v>
      </c>
      <c r="H28" s="64" t="s">
        <v>114</v>
      </c>
      <c r="I28" s="64" t="s">
        <v>114</v>
      </c>
      <c r="J28" s="74"/>
    </row>
    <row r="29" spans="1:10" x14ac:dyDescent="0.3">
      <c r="A29" s="60"/>
      <c r="B29" s="61">
        <v>5</v>
      </c>
      <c r="C29" s="62" t="s">
        <v>145</v>
      </c>
      <c r="D29" s="61" t="s">
        <v>116</v>
      </c>
      <c r="E29" s="61" t="s">
        <v>116</v>
      </c>
      <c r="F29" s="61" t="s">
        <v>62</v>
      </c>
      <c r="G29" s="61" t="s">
        <v>116</v>
      </c>
      <c r="H29" s="61" t="s">
        <v>116</v>
      </c>
      <c r="I29" s="61" t="s">
        <v>116</v>
      </c>
      <c r="J29" s="60"/>
    </row>
    <row r="30" spans="1:10" x14ac:dyDescent="0.3">
      <c r="A30" s="60"/>
      <c r="B30" s="61">
        <v>6</v>
      </c>
      <c r="C30" s="62" t="s">
        <v>146</v>
      </c>
      <c r="D30" s="61" t="s">
        <v>116</v>
      </c>
      <c r="E30" s="61" t="s">
        <v>116</v>
      </c>
      <c r="F30" s="61" t="s">
        <v>116</v>
      </c>
      <c r="G30" s="61" t="s">
        <v>116</v>
      </c>
      <c r="H30" s="76" t="s">
        <v>116</v>
      </c>
      <c r="I30" s="76" t="s">
        <v>116</v>
      </c>
      <c r="J30" s="60"/>
    </row>
    <row r="31" spans="1:10" x14ac:dyDescent="0.3">
      <c r="A31" s="60"/>
      <c r="B31" s="61">
        <v>7</v>
      </c>
      <c r="C31" s="62" t="s">
        <v>147</v>
      </c>
      <c r="D31" s="76"/>
      <c r="E31" s="61"/>
      <c r="F31" s="61"/>
      <c r="G31" s="61"/>
      <c r="H31" s="61"/>
      <c r="I31" s="61"/>
      <c r="J31" s="60"/>
    </row>
    <row r="32" spans="1:10" x14ac:dyDescent="0.3">
      <c r="A32" s="60"/>
      <c r="B32" s="61"/>
      <c r="C32" s="62"/>
      <c r="D32" s="62"/>
      <c r="E32" s="62"/>
      <c r="F32" s="62"/>
      <c r="G32" s="62"/>
      <c r="H32" s="62"/>
      <c r="I32" s="62"/>
      <c r="J32" s="75"/>
    </row>
    <row r="33" spans="1:10" x14ac:dyDescent="0.3">
      <c r="A33" s="60"/>
      <c r="B33" s="60"/>
      <c r="C33" s="60"/>
      <c r="D33" s="60"/>
      <c r="E33" s="60"/>
      <c r="F33" s="60"/>
      <c r="G33" s="60"/>
      <c r="H33" s="60"/>
      <c r="I33" s="60"/>
      <c r="J33" s="60"/>
    </row>
    <row r="34" spans="1:10" x14ac:dyDescent="0.3">
      <c r="A34" s="60"/>
      <c r="B34" s="60"/>
      <c r="C34" s="60"/>
      <c r="D34" s="60"/>
      <c r="E34" s="60"/>
      <c r="F34" s="60"/>
      <c r="G34" s="60"/>
      <c r="H34" s="60"/>
      <c r="I34" s="60"/>
      <c r="J34" s="60"/>
    </row>
    <row r="35" spans="1:10" x14ac:dyDescent="0.3">
      <c r="A35" s="60"/>
      <c r="B35" s="60"/>
      <c r="C35" s="60"/>
      <c r="D35" s="60"/>
      <c r="E35" s="60"/>
      <c r="F35" s="60"/>
      <c r="G35" s="60"/>
      <c r="H35" s="60"/>
      <c r="I35" s="60"/>
      <c r="J35" s="60"/>
    </row>
    <row r="36" spans="1:10" x14ac:dyDescent="0.3">
      <c r="A36" s="60"/>
      <c r="B36" s="60"/>
      <c r="C36" s="60"/>
      <c r="D36" s="60"/>
      <c r="E36" s="60"/>
      <c r="F36" s="60"/>
      <c r="G36" s="60"/>
      <c r="H36" s="60"/>
      <c r="I36" s="60"/>
      <c r="J36" s="60"/>
    </row>
    <row r="37" spans="1:10" x14ac:dyDescent="0.3">
      <c r="A37" s="60"/>
      <c r="B37" s="60"/>
      <c r="C37" s="60"/>
      <c r="D37" s="60"/>
      <c r="E37" s="60"/>
      <c r="F37" s="60"/>
      <c r="G37" s="60"/>
      <c r="H37" s="60"/>
      <c r="I37" s="60"/>
      <c r="J37" s="60"/>
    </row>
    <row r="38" spans="1:10" x14ac:dyDescent="0.3">
      <c r="A38" s="60"/>
      <c r="B38" s="60"/>
      <c r="C38" s="60"/>
      <c r="D38" s="60"/>
      <c r="E38" s="60"/>
      <c r="F38" s="60"/>
      <c r="G38" s="60"/>
      <c r="H38" s="60"/>
      <c r="I38" s="60"/>
      <c r="J38" s="60"/>
    </row>
    <row r="39" spans="1:10" x14ac:dyDescent="0.3">
      <c r="A39" s="60"/>
      <c r="B39" s="139" t="s">
        <v>113</v>
      </c>
      <c r="C39" s="139"/>
      <c r="D39" s="139"/>
      <c r="E39" s="139"/>
      <c r="F39" s="139"/>
      <c r="G39" s="139"/>
      <c r="H39" s="139"/>
      <c r="I39" s="139"/>
      <c r="J39" s="72"/>
    </row>
    <row r="40" spans="1:10" x14ac:dyDescent="0.3">
      <c r="A40" s="60"/>
      <c r="B40" s="139" t="s">
        <v>119</v>
      </c>
      <c r="C40" s="139"/>
      <c r="D40" s="139"/>
      <c r="E40" s="139"/>
      <c r="F40" s="139"/>
      <c r="G40" s="139"/>
      <c r="H40" s="139"/>
      <c r="I40" s="139"/>
      <c r="J40" s="72"/>
    </row>
    <row r="41" spans="1:10" x14ac:dyDescent="0.3">
      <c r="A41" s="60"/>
      <c r="B41" s="139" t="s">
        <v>77</v>
      </c>
      <c r="C41" s="139"/>
      <c r="D41" s="139"/>
      <c r="E41" s="139"/>
      <c r="F41" s="139"/>
      <c r="G41" s="139"/>
      <c r="H41" s="139"/>
      <c r="I41" s="139"/>
      <c r="J41" s="72"/>
    </row>
    <row r="42" spans="1:10" x14ac:dyDescent="0.3">
      <c r="A42" s="60"/>
      <c r="B42" s="60"/>
      <c r="C42" s="60"/>
      <c r="D42" s="60"/>
      <c r="E42" s="60"/>
      <c r="F42" s="60"/>
      <c r="G42" s="60"/>
      <c r="H42" s="60"/>
      <c r="I42" s="60"/>
      <c r="J42" s="60"/>
    </row>
    <row r="43" spans="1:10" ht="27.6" x14ac:dyDescent="0.3">
      <c r="A43" s="60"/>
      <c r="B43" s="65" t="s">
        <v>111</v>
      </c>
      <c r="C43" s="66" t="s">
        <v>112</v>
      </c>
      <c r="D43" s="66" t="s">
        <v>46</v>
      </c>
      <c r="E43" s="66" t="s">
        <v>47</v>
      </c>
      <c r="F43" s="66" t="s">
        <v>48</v>
      </c>
      <c r="G43" s="66" t="s">
        <v>49</v>
      </c>
      <c r="H43" s="66" t="s">
        <v>110</v>
      </c>
      <c r="I43" s="66" t="s">
        <v>51</v>
      </c>
      <c r="J43" s="73"/>
    </row>
    <row r="44" spans="1:10" x14ac:dyDescent="0.3">
      <c r="A44" s="60"/>
      <c r="B44" s="61"/>
      <c r="C44" s="62" t="s">
        <v>139</v>
      </c>
      <c r="D44" s="61" t="s">
        <v>115</v>
      </c>
      <c r="E44" s="61" t="s">
        <v>115</v>
      </c>
      <c r="F44" s="61" t="s">
        <v>115</v>
      </c>
      <c r="G44" s="61" t="s">
        <v>115</v>
      </c>
      <c r="H44" s="61" t="s">
        <v>115</v>
      </c>
      <c r="I44" s="61" t="s">
        <v>115</v>
      </c>
      <c r="J44" s="60"/>
    </row>
    <row r="45" spans="1:10" x14ac:dyDescent="0.3">
      <c r="A45" s="60"/>
      <c r="B45" s="61">
        <v>1</v>
      </c>
      <c r="C45" s="62" t="s">
        <v>140</v>
      </c>
      <c r="D45" s="61" t="s">
        <v>118</v>
      </c>
      <c r="E45" s="61" t="s">
        <v>116</v>
      </c>
      <c r="F45" s="61" t="s">
        <v>116</v>
      </c>
      <c r="G45" s="61" t="s">
        <v>116</v>
      </c>
      <c r="H45" s="61" t="s">
        <v>138</v>
      </c>
      <c r="I45" s="61" t="s">
        <v>116</v>
      </c>
      <c r="J45" s="60"/>
    </row>
    <row r="46" spans="1:10" x14ac:dyDescent="0.3">
      <c r="A46" s="60"/>
      <c r="B46" s="61">
        <v>2</v>
      </c>
      <c r="C46" s="62" t="s">
        <v>141</v>
      </c>
      <c r="D46" s="61" t="s">
        <v>122</v>
      </c>
      <c r="E46" s="61" t="s">
        <v>116</v>
      </c>
      <c r="F46" s="61" t="s">
        <v>116</v>
      </c>
      <c r="G46" s="61" t="s">
        <v>116</v>
      </c>
      <c r="H46" s="61" t="s">
        <v>116</v>
      </c>
      <c r="I46" s="61" t="s">
        <v>116</v>
      </c>
      <c r="J46" s="60"/>
    </row>
    <row r="47" spans="1:10" x14ac:dyDescent="0.3">
      <c r="A47" s="60"/>
      <c r="B47" s="61">
        <v>3</v>
      </c>
      <c r="C47" s="62" t="s">
        <v>142</v>
      </c>
      <c r="D47" s="61" t="s">
        <v>122</v>
      </c>
      <c r="E47" s="61" t="s">
        <v>116</v>
      </c>
      <c r="F47" s="61" t="s">
        <v>122</v>
      </c>
      <c r="G47" s="61" t="s">
        <v>116</v>
      </c>
      <c r="H47" s="61" t="s">
        <v>116</v>
      </c>
      <c r="I47" s="61" t="s">
        <v>62</v>
      </c>
      <c r="J47" s="60"/>
    </row>
    <row r="48" spans="1:10" x14ac:dyDescent="0.3">
      <c r="A48" s="60"/>
      <c r="B48" s="61">
        <v>4</v>
      </c>
      <c r="C48" s="62" t="s">
        <v>143</v>
      </c>
      <c r="D48" s="61" t="s">
        <v>116</v>
      </c>
      <c r="E48" s="61" t="s">
        <v>116</v>
      </c>
      <c r="F48" s="61" t="s">
        <v>122</v>
      </c>
      <c r="G48" s="61" t="s">
        <v>116</v>
      </c>
      <c r="H48" s="61" t="s">
        <v>116</v>
      </c>
      <c r="I48" s="61" t="s">
        <v>62</v>
      </c>
      <c r="J48" s="60"/>
    </row>
    <row r="49" spans="1:10" x14ac:dyDescent="0.3">
      <c r="A49" s="60"/>
      <c r="B49" s="61"/>
      <c r="C49" s="63" t="s">
        <v>144</v>
      </c>
      <c r="D49" s="64" t="s">
        <v>114</v>
      </c>
      <c r="E49" s="64" t="s">
        <v>114</v>
      </c>
      <c r="F49" s="64" t="s">
        <v>114</v>
      </c>
      <c r="G49" s="64" t="s">
        <v>114</v>
      </c>
      <c r="H49" s="64" t="s">
        <v>114</v>
      </c>
      <c r="I49" s="64" t="s">
        <v>114</v>
      </c>
      <c r="J49" s="74"/>
    </row>
    <row r="50" spans="1:10" x14ac:dyDescent="0.3">
      <c r="A50" s="60"/>
      <c r="B50" s="61">
        <v>5</v>
      </c>
      <c r="C50" s="62" t="s">
        <v>145</v>
      </c>
      <c r="D50" s="61" t="s">
        <v>116</v>
      </c>
      <c r="E50" s="61" t="s">
        <v>62</v>
      </c>
      <c r="F50" s="61" t="s">
        <v>116</v>
      </c>
      <c r="G50" s="61" t="s">
        <v>116</v>
      </c>
      <c r="H50" s="61" t="s">
        <v>116</v>
      </c>
      <c r="I50" s="61" t="s">
        <v>116</v>
      </c>
      <c r="J50" s="60"/>
    </row>
    <row r="51" spans="1:10" x14ac:dyDescent="0.3">
      <c r="A51" s="60"/>
      <c r="B51" s="61">
        <v>6</v>
      </c>
      <c r="C51" s="62" t="s">
        <v>146</v>
      </c>
      <c r="D51" s="61" t="s">
        <v>116</v>
      </c>
      <c r="E51" s="61" t="s">
        <v>62</v>
      </c>
      <c r="F51" s="61" t="s">
        <v>116</v>
      </c>
      <c r="G51" s="61" t="s">
        <v>116</v>
      </c>
      <c r="H51" s="61"/>
      <c r="I51" s="61"/>
      <c r="J51" s="60"/>
    </row>
    <row r="52" spans="1:10" x14ac:dyDescent="0.3">
      <c r="A52" s="60"/>
      <c r="B52" s="61">
        <v>7</v>
      </c>
      <c r="C52" s="62" t="s">
        <v>147</v>
      </c>
      <c r="D52" s="61"/>
      <c r="E52" s="61"/>
      <c r="F52" s="61"/>
      <c r="G52" s="61"/>
      <c r="H52" s="61"/>
      <c r="I52" s="61"/>
      <c r="J52" s="60"/>
    </row>
    <row r="53" spans="1:10" x14ac:dyDescent="0.3">
      <c r="A53" s="60"/>
      <c r="B53" s="61"/>
      <c r="C53" s="62"/>
      <c r="D53" s="62"/>
      <c r="E53" s="62"/>
      <c r="F53" s="62"/>
      <c r="G53" s="62"/>
      <c r="H53" s="62"/>
      <c r="I53" s="62"/>
      <c r="J53" s="75"/>
    </row>
    <row r="54" spans="1:10" x14ac:dyDescent="0.3">
      <c r="A54" s="60"/>
      <c r="B54" s="60"/>
      <c r="C54" s="60"/>
      <c r="D54" s="60"/>
      <c r="E54" s="60"/>
      <c r="F54" s="60"/>
      <c r="G54" s="60"/>
      <c r="H54" s="60"/>
      <c r="I54" s="60"/>
      <c r="J54" s="60"/>
    </row>
    <row r="55" spans="1:10" x14ac:dyDescent="0.3">
      <c r="A55" s="60"/>
      <c r="B55" s="139" t="s">
        <v>113</v>
      </c>
      <c r="C55" s="139"/>
      <c r="D55" s="139"/>
      <c r="E55" s="139"/>
      <c r="F55" s="139"/>
      <c r="G55" s="139"/>
      <c r="H55" s="139"/>
      <c r="I55" s="139"/>
      <c r="J55" s="72"/>
    </row>
    <row r="56" spans="1:10" x14ac:dyDescent="0.3">
      <c r="A56" s="60"/>
      <c r="B56" s="139" t="s">
        <v>119</v>
      </c>
      <c r="C56" s="139"/>
      <c r="D56" s="139"/>
      <c r="E56" s="139"/>
      <c r="F56" s="139"/>
      <c r="G56" s="139"/>
      <c r="H56" s="139"/>
      <c r="I56" s="139"/>
      <c r="J56" s="72"/>
    </row>
    <row r="57" spans="1:10" x14ac:dyDescent="0.3">
      <c r="A57" s="60"/>
      <c r="B57" s="139" t="s">
        <v>73</v>
      </c>
      <c r="C57" s="139"/>
      <c r="D57" s="139"/>
      <c r="E57" s="139"/>
      <c r="F57" s="139"/>
      <c r="G57" s="139"/>
      <c r="H57" s="139"/>
      <c r="I57" s="139"/>
      <c r="J57" s="72"/>
    </row>
    <row r="58" spans="1:10" x14ac:dyDescent="0.3">
      <c r="A58" s="60"/>
      <c r="B58" s="60"/>
      <c r="C58" s="60"/>
      <c r="D58" s="60"/>
      <c r="E58" s="60"/>
      <c r="F58" s="60"/>
      <c r="G58" s="60"/>
      <c r="H58" s="60"/>
      <c r="I58" s="60"/>
      <c r="J58" s="60"/>
    </row>
    <row r="59" spans="1:10" ht="27.6" x14ac:dyDescent="0.3">
      <c r="A59" s="60"/>
      <c r="B59" s="65" t="s">
        <v>111</v>
      </c>
      <c r="C59" s="66" t="s">
        <v>112</v>
      </c>
      <c r="D59" s="66" t="s">
        <v>46</v>
      </c>
      <c r="E59" s="66" t="s">
        <v>47</v>
      </c>
      <c r="F59" s="66" t="s">
        <v>48</v>
      </c>
      <c r="G59" s="66" t="s">
        <v>49</v>
      </c>
      <c r="H59" s="66" t="s">
        <v>110</v>
      </c>
      <c r="I59" s="66" t="s">
        <v>51</v>
      </c>
      <c r="J59" s="73"/>
    </row>
    <row r="60" spans="1:10" x14ac:dyDescent="0.3">
      <c r="A60" s="60"/>
      <c r="B60" s="61"/>
      <c r="C60" s="62" t="s">
        <v>139</v>
      </c>
      <c r="D60" s="61" t="s">
        <v>115</v>
      </c>
      <c r="E60" s="61" t="s">
        <v>115</v>
      </c>
      <c r="F60" s="61" t="s">
        <v>115</v>
      </c>
      <c r="G60" s="61" t="s">
        <v>115</v>
      </c>
      <c r="H60" s="61" t="s">
        <v>115</v>
      </c>
      <c r="I60" s="61" t="s">
        <v>115</v>
      </c>
      <c r="J60" s="60"/>
    </row>
    <row r="61" spans="1:10" x14ac:dyDescent="0.3">
      <c r="A61" s="60"/>
      <c r="B61" s="61">
        <v>1</v>
      </c>
      <c r="C61" s="62" t="s">
        <v>140</v>
      </c>
      <c r="D61" s="61" t="s">
        <v>118</v>
      </c>
      <c r="E61" s="61" t="s">
        <v>116</v>
      </c>
      <c r="F61" s="61" t="s">
        <v>62</v>
      </c>
      <c r="G61" s="61" t="s">
        <v>122</v>
      </c>
      <c r="H61" s="61" t="s">
        <v>138</v>
      </c>
      <c r="I61" s="61" t="s">
        <v>116</v>
      </c>
      <c r="J61" s="60"/>
    </row>
    <row r="62" spans="1:10" x14ac:dyDescent="0.3">
      <c r="A62" s="60"/>
      <c r="B62" s="61">
        <v>2</v>
      </c>
      <c r="C62" s="62" t="s">
        <v>141</v>
      </c>
      <c r="D62" s="61" t="s">
        <v>116</v>
      </c>
      <c r="E62" s="61" t="s">
        <v>116</v>
      </c>
      <c r="F62" s="61" t="s">
        <v>62</v>
      </c>
      <c r="G62" s="61" t="s">
        <v>122</v>
      </c>
      <c r="H62" s="61" t="s">
        <v>116</v>
      </c>
      <c r="I62" s="61" t="s">
        <v>116</v>
      </c>
      <c r="J62" s="60"/>
    </row>
    <row r="63" spans="1:10" x14ac:dyDescent="0.3">
      <c r="A63" s="60"/>
      <c r="B63" s="61">
        <v>3</v>
      </c>
      <c r="C63" s="62" t="s">
        <v>142</v>
      </c>
      <c r="D63" s="61" t="s">
        <v>116</v>
      </c>
      <c r="E63" s="61" t="s">
        <v>116</v>
      </c>
      <c r="F63" s="61" t="s">
        <v>62</v>
      </c>
      <c r="G63" s="61" t="s">
        <v>116</v>
      </c>
      <c r="H63" s="61" t="s">
        <v>116</v>
      </c>
      <c r="I63" s="61" t="s">
        <v>116</v>
      </c>
      <c r="J63" s="60"/>
    </row>
    <row r="64" spans="1:10" x14ac:dyDescent="0.3">
      <c r="A64" s="60"/>
      <c r="B64" s="61">
        <v>4</v>
      </c>
      <c r="C64" s="62" t="s">
        <v>143</v>
      </c>
      <c r="D64" s="61" t="s">
        <v>116</v>
      </c>
      <c r="E64" s="61" t="s">
        <v>116</v>
      </c>
      <c r="F64" s="61" t="s">
        <v>116</v>
      </c>
      <c r="G64" s="61" t="s">
        <v>116</v>
      </c>
      <c r="H64" s="61" t="s">
        <v>116</v>
      </c>
      <c r="I64" s="61" t="s">
        <v>116</v>
      </c>
      <c r="J64" s="60"/>
    </row>
    <row r="65" spans="1:10" x14ac:dyDescent="0.3">
      <c r="A65" s="60"/>
      <c r="B65" s="61"/>
      <c r="C65" s="63" t="s">
        <v>144</v>
      </c>
      <c r="D65" s="64" t="s">
        <v>114</v>
      </c>
      <c r="E65" s="64" t="s">
        <v>114</v>
      </c>
      <c r="F65" s="64" t="s">
        <v>114</v>
      </c>
      <c r="G65" s="64" t="s">
        <v>114</v>
      </c>
      <c r="H65" s="64" t="s">
        <v>114</v>
      </c>
      <c r="I65" s="64" t="s">
        <v>114</v>
      </c>
      <c r="J65" s="74"/>
    </row>
    <row r="66" spans="1:10" x14ac:dyDescent="0.3">
      <c r="A66" s="60"/>
      <c r="B66" s="61">
        <v>5</v>
      </c>
      <c r="C66" s="62" t="s">
        <v>145</v>
      </c>
      <c r="D66" s="61" t="s">
        <v>62</v>
      </c>
      <c r="E66" s="61" t="s">
        <v>116</v>
      </c>
      <c r="F66" s="61" t="s">
        <v>116</v>
      </c>
      <c r="G66" s="61" t="s">
        <v>116</v>
      </c>
      <c r="H66" s="61" t="s">
        <v>116</v>
      </c>
      <c r="I66" s="61" t="s">
        <v>116</v>
      </c>
      <c r="J66" s="60"/>
    </row>
    <row r="67" spans="1:10" x14ac:dyDescent="0.3">
      <c r="A67" s="60"/>
      <c r="B67" s="61">
        <v>6</v>
      </c>
      <c r="C67" s="62" t="s">
        <v>146</v>
      </c>
      <c r="D67" s="61" t="s">
        <v>124</v>
      </c>
      <c r="E67" s="61" t="s">
        <v>122</v>
      </c>
      <c r="F67" s="61" t="s">
        <v>116</v>
      </c>
      <c r="G67" s="61" t="s">
        <v>116</v>
      </c>
      <c r="H67" s="61" t="s">
        <v>116</v>
      </c>
      <c r="I67" s="61" t="s">
        <v>116</v>
      </c>
      <c r="J67" s="60"/>
    </row>
    <row r="68" spans="1:10" x14ac:dyDescent="0.3">
      <c r="A68" s="60"/>
      <c r="B68" s="61">
        <v>7</v>
      </c>
      <c r="C68" s="62" t="s">
        <v>147</v>
      </c>
      <c r="D68" s="61" t="s">
        <v>116</v>
      </c>
      <c r="E68" s="61" t="s">
        <v>122</v>
      </c>
      <c r="F68" s="61" t="s">
        <v>116</v>
      </c>
      <c r="G68" s="61" t="s">
        <v>116</v>
      </c>
      <c r="H68" s="61"/>
      <c r="I68" s="61"/>
      <c r="J68" s="60"/>
    </row>
    <row r="69" spans="1:10" x14ac:dyDescent="0.3">
      <c r="A69" s="60"/>
      <c r="B69" s="61"/>
      <c r="C69" s="62"/>
      <c r="D69" s="62"/>
      <c r="E69" s="62"/>
      <c r="F69" s="62"/>
      <c r="G69" s="62"/>
      <c r="H69" s="62"/>
      <c r="I69" s="62"/>
      <c r="J69" s="75"/>
    </row>
    <row r="70" spans="1:10" x14ac:dyDescent="0.3">
      <c r="A70" s="60"/>
      <c r="B70" s="60"/>
      <c r="C70" s="60"/>
      <c r="D70" s="60"/>
      <c r="E70" s="60"/>
      <c r="F70" s="60"/>
      <c r="G70" s="60"/>
      <c r="H70" s="60"/>
      <c r="I70" s="60"/>
      <c r="J70" s="60"/>
    </row>
    <row r="71" spans="1:10" x14ac:dyDescent="0.3">
      <c r="A71" s="60"/>
      <c r="B71" s="60"/>
      <c r="C71" s="60"/>
      <c r="D71" s="60"/>
      <c r="E71" s="60"/>
      <c r="F71" s="60"/>
      <c r="G71" s="60"/>
      <c r="H71" s="60"/>
      <c r="I71" s="60"/>
      <c r="J71" s="60"/>
    </row>
    <row r="72" spans="1:10" ht="40.5" customHeight="1" x14ac:dyDescent="0.3">
      <c r="A72" s="60"/>
      <c r="B72" s="60"/>
      <c r="C72" s="60"/>
      <c r="D72" s="60"/>
      <c r="E72" s="60"/>
      <c r="F72" s="60"/>
      <c r="G72" s="60"/>
      <c r="H72" s="60"/>
      <c r="I72" s="60"/>
      <c r="J72" s="60"/>
    </row>
    <row r="73" spans="1:10" x14ac:dyDescent="0.3">
      <c r="A73" s="60"/>
      <c r="B73" s="60"/>
      <c r="C73" s="60"/>
      <c r="D73" s="60"/>
      <c r="E73" s="60"/>
      <c r="F73" s="60"/>
      <c r="G73" s="60"/>
      <c r="H73" s="60"/>
      <c r="I73" s="60"/>
      <c r="J73" s="60"/>
    </row>
    <row r="74" spans="1:10" x14ac:dyDescent="0.3">
      <c r="A74" s="60"/>
      <c r="B74" s="139" t="s">
        <v>113</v>
      </c>
      <c r="C74" s="139"/>
      <c r="D74" s="139"/>
      <c r="E74" s="139"/>
      <c r="F74" s="139"/>
      <c r="G74" s="139"/>
      <c r="H74" s="139"/>
      <c r="I74" s="139"/>
      <c r="J74" s="72"/>
    </row>
    <row r="75" spans="1:10" x14ac:dyDescent="0.3">
      <c r="A75" s="60"/>
      <c r="B75" s="139" t="s">
        <v>119</v>
      </c>
      <c r="C75" s="139"/>
      <c r="D75" s="139"/>
      <c r="E75" s="139"/>
      <c r="F75" s="139"/>
      <c r="G75" s="139"/>
      <c r="H75" s="139"/>
      <c r="I75" s="139"/>
      <c r="J75" s="72"/>
    </row>
    <row r="76" spans="1:10" x14ac:dyDescent="0.3">
      <c r="A76" s="60"/>
      <c r="B76" s="139" t="s">
        <v>74</v>
      </c>
      <c r="C76" s="139"/>
      <c r="D76" s="139"/>
      <c r="E76" s="139"/>
      <c r="F76" s="139"/>
      <c r="G76" s="139"/>
      <c r="H76" s="139"/>
      <c r="I76" s="139"/>
      <c r="J76" s="72"/>
    </row>
    <row r="77" spans="1:10" x14ac:dyDescent="0.3">
      <c r="A77" s="60"/>
      <c r="B77" s="60"/>
      <c r="C77" s="60"/>
      <c r="D77" s="60"/>
      <c r="E77" s="60"/>
      <c r="F77" s="60"/>
      <c r="G77" s="60"/>
      <c r="H77" s="60"/>
      <c r="I77" s="60"/>
      <c r="J77" s="60"/>
    </row>
    <row r="78" spans="1:10" ht="27.6" x14ac:dyDescent="0.3">
      <c r="A78" s="60"/>
      <c r="B78" s="65" t="s">
        <v>111</v>
      </c>
      <c r="C78" s="66" t="s">
        <v>112</v>
      </c>
      <c r="D78" s="66" t="s">
        <v>46</v>
      </c>
      <c r="E78" s="66" t="s">
        <v>47</v>
      </c>
      <c r="F78" s="66" t="s">
        <v>48</v>
      </c>
      <c r="G78" s="66" t="s">
        <v>49</v>
      </c>
      <c r="H78" s="66" t="s">
        <v>110</v>
      </c>
      <c r="I78" s="66" t="s">
        <v>51</v>
      </c>
      <c r="J78" s="73"/>
    </row>
    <row r="79" spans="1:10" x14ac:dyDescent="0.3">
      <c r="A79" s="60"/>
      <c r="B79" s="61"/>
      <c r="C79" s="62" t="s">
        <v>139</v>
      </c>
      <c r="D79" s="61" t="s">
        <v>115</v>
      </c>
      <c r="E79" s="61" t="s">
        <v>115</v>
      </c>
      <c r="F79" s="61" t="s">
        <v>115</v>
      </c>
      <c r="G79" s="61" t="s">
        <v>115</v>
      </c>
      <c r="H79" s="61" t="s">
        <v>115</v>
      </c>
      <c r="I79" s="61" t="s">
        <v>115</v>
      </c>
      <c r="J79" s="60"/>
    </row>
    <row r="80" spans="1:10" x14ac:dyDescent="0.3">
      <c r="A80" s="60"/>
      <c r="B80" s="61">
        <v>1</v>
      </c>
      <c r="C80" s="62" t="s">
        <v>140</v>
      </c>
      <c r="D80" s="61" t="s">
        <v>118</v>
      </c>
      <c r="E80" s="61" t="s">
        <v>116</v>
      </c>
      <c r="F80" s="61" t="s">
        <v>116</v>
      </c>
      <c r="G80" s="61" t="s">
        <v>116</v>
      </c>
      <c r="H80" s="61" t="s">
        <v>138</v>
      </c>
      <c r="I80" s="61" t="s">
        <v>122</v>
      </c>
      <c r="J80" s="60"/>
    </row>
    <row r="81" spans="1:10" x14ac:dyDescent="0.3">
      <c r="A81" s="60"/>
      <c r="B81" s="61">
        <v>2</v>
      </c>
      <c r="C81" s="62" t="s">
        <v>141</v>
      </c>
      <c r="D81" s="61" t="s">
        <v>116</v>
      </c>
      <c r="E81" s="61" t="s">
        <v>116</v>
      </c>
      <c r="F81" s="61" t="s">
        <v>116</v>
      </c>
      <c r="G81" s="61" t="s">
        <v>116</v>
      </c>
      <c r="H81" s="61" t="s">
        <v>116</v>
      </c>
      <c r="I81" s="61" t="s">
        <v>122</v>
      </c>
      <c r="J81" s="60"/>
    </row>
    <row r="82" spans="1:10" x14ac:dyDescent="0.3">
      <c r="A82" s="60"/>
      <c r="B82" s="61">
        <v>3</v>
      </c>
      <c r="C82" s="62" t="s">
        <v>142</v>
      </c>
      <c r="D82" s="61" t="s">
        <v>116</v>
      </c>
      <c r="E82" s="61" t="s">
        <v>116</v>
      </c>
      <c r="F82" s="61" t="s">
        <v>116</v>
      </c>
      <c r="G82" s="61" t="s">
        <v>62</v>
      </c>
      <c r="H82" s="61" t="s">
        <v>116</v>
      </c>
      <c r="I82" s="61" t="s">
        <v>116</v>
      </c>
      <c r="J82" s="60"/>
    </row>
    <row r="83" spans="1:10" x14ac:dyDescent="0.3">
      <c r="A83" s="60"/>
      <c r="B83" s="61">
        <v>4</v>
      </c>
      <c r="C83" s="62" t="s">
        <v>143</v>
      </c>
      <c r="D83" s="61" t="s">
        <v>116</v>
      </c>
      <c r="E83" s="61" t="s">
        <v>116</v>
      </c>
      <c r="F83" s="61" t="s">
        <v>116</v>
      </c>
      <c r="G83" s="61" t="s">
        <v>62</v>
      </c>
      <c r="H83" s="61" t="s">
        <v>116</v>
      </c>
      <c r="I83" s="61" t="s">
        <v>116</v>
      </c>
      <c r="J83" s="60"/>
    </row>
    <row r="84" spans="1:10" x14ac:dyDescent="0.3">
      <c r="A84" s="60"/>
      <c r="B84" s="61"/>
      <c r="C84" s="63" t="s">
        <v>144</v>
      </c>
      <c r="D84" s="64" t="s">
        <v>114</v>
      </c>
      <c r="E84" s="64" t="s">
        <v>114</v>
      </c>
      <c r="F84" s="64" t="s">
        <v>114</v>
      </c>
      <c r="G84" s="64" t="s">
        <v>114</v>
      </c>
      <c r="H84" s="64" t="s">
        <v>114</v>
      </c>
      <c r="I84" s="64" t="s">
        <v>114</v>
      </c>
      <c r="J84" s="74"/>
    </row>
    <row r="85" spans="1:10" x14ac:dyDescent="0.3">
      <c r="A85" s="60"/>
      <c r="B85" s="61">
        <v>5</v>
      </c>
      <c r="C85" s="62" t="s">
        <v>145</v>
      </c>
      <c r="D85" s="61" t="s">
        <v>116</v>
      </c>
      <c r="E85" s="61" t="s">
        <v>116</v>
      </c>
      <c r="F85" s="61" t="s">
        <v>116</v>
      </c>
      <c r="G85" s="61" t="s">
        <v>62</v>
      </c>
      <c r="H85" s="61" t="s">
        <v>116</v>
      </c>
      <c r="I85" s="61" t="s">
        <v>116</v>
      </c>
      <c r="J85" s="60"/>
    </row>
    <row r="86" spans="1:10" x14ac:dyDescent="0.3">
      <c r="A86" s="60"/>
      <c r="B86" s="61">
        <v>6</v>
      </c>
      <c r="C86" s="62" t="s">
        <v>146</v>
      </c>
      <c r="D86" s="61" t="s">
        <v>62</v>
      </c>
      <c r="E86" s="61" t="s">
        <v>116</v>
      </c>
      <c r="F86" s="61" t="s">
        <v>122</v>
      </c>
      <c r="G86" s="61" t="s">
        <v>116</v>
      </c>
      <c r="H86" s="61" t="s">
        <v>116</v>
      </c>
      <c r="I86" s="61" t="s">
        <v>116</v>
      </c>
      <c r="J86" s="60"/>
    </row>
    <row r="87" spans="1:10" x14ac:dyDescent="0.3">
      <c r="A87" s="60"/>
      <c r="B87" s="61">
        <v>7</v>
      </c>
      <c r="C87" s="62" t="s">
        <v>147</v>
      </c>
      <c r="D87" s="61" t="s">
        <v>116</v>
      </c>
      <c r="E87" s="61" t="s">
        <v>116</v>
      </c>
      <c r="F87" s="61" t="s">
        <v>122</v>
      </c>
      <c r="G87" s="61" t="s">
        <v>116</v>
      </c>
      <c r="H87" s="61"/>
      <c r="I87" s="61"/>
      <c r="J87" s="60"/>
    </row>
    <row r="88" spans="1:10" x14ac:dyDescent="0.3">
      <c r="A88" s="60"/>
      <c r="B88" s="61"/>
      <c r="C88" s="62"/>
      <c r="D88" s="62"/>
      <c r="E88" s="62"/>
      <c r="F88" s="62"/>
      <c r="G88" s="62"/>
      <c r="H88" s="62"/>
      <c r="I88" s="62"/>
      <c r="J88" s="75"/>
    </row>
    <row r="89" spans="1:10" x14ac:dyDescent="0.3">
      <c r="A89" s="60"/>
      <c r="B89" s="60"/>
      <c r="C89" s="60"/>
      <c r="D89" s="60"/>
      <c r="E89" s="60"/>
      <c r="F89" s="60"/>
      <c r="G89" s="60"/>
      <c r="H89" s="60"/>
      <c r="I89" s="60"/>
      <c r="J89" s="60"/>
    </row>
    <row r="90" spans="1:10" x14ac:dyDescent="0.3">
      <c r="A90" s="60"/>
      <c r="B90" s="60"/>
      <c r="C90" s="60"/>
      <c r="D90" s="60"/>
      <c r="E90" s="60"/>
      <c r="F90" s="60"/>
      <c r="G90" s="60"/>
      <c r="H90" s="60"/>
      <c r="I90" s="60"/>
      <c r="J90" s="60"/>
    </row>
    <row r="91" spans="1:10" x14ac:dyDescent="0.3">
      <c r="A91" s="60"/>
      <c r="B91" s="60"/>
      <c r="C91" s="60"/>
      <c r="D91" s="60"/>
      <c r="E91" s="60"/>
      <c r="F91" s="60"/>
      <c r="G91" s="60"/>
      <c r="H91" s="60"/>
      <c r="I91" s="60"/>
      <c r="J91" s="60"/>
    </row>
    <row r="92" spans="1:10" x14ac:dyDescent="0.3">
      <c r="A92" s="60"/>
      <c r="B92" s="139" t="s">
        <v>113</v>
      </c>
      <c r="C92" s="139"/>
      <c r="D92" s="139"/>
      <c r="E92" s="139"/>
      <c r="F92" s="139"/>
      <c r="G92" s="139"/>
      <c r="H92" s="139"/>
      <c r="I92" s="139"/>
      <c r="J92" s="72"/>
    </row>
    <row r="93" spans="1:10" x14ac:dyDescent="0.3">
      <c r="A93" s="60"/>
      <c r="B93" s="139" t="s">
        <v>119</v>
      </c>
      <c r="C93" s="139"/>
      <c r="D93" s="139"/>
      <c r="E93" s="139"/>
      <c r="F93" s="139"/>
      <c r="G93" s="139"/>
      <c r="H93" s="139"/>
      <c r="I93" s="139"/>
      <c r="J93" s="72"/>
    </row>
    <row r="94" spans="1:10" x14ac:dyDescent="0.3">
      <c r="A94" s="60"/>
      <c r="B94" s="139" t="s">
        <v>75</v>
      </c>
      <c r="C94" s="139"/>
      <c r="D94" s="139"/>
      <c r="E94" s="139"/>
      <c r="F94" s="139"/>
      <c r="G94" s="139"/>
      <c r="H94" s="139"/>
      <c r="I94" s="139"/>
      <c r="J94" s="72"/>
    </row>
    <row r="95" spans="1:10" x14ac:dyDescent="0.3">
      <c r="A95" s="60"/>
      <c r="B95" s="60"/>
      <c r="C95" s="60"/>
      <c r="D95" s="60"/>
      <c r="E95" s="60"/>
      <c r="F95" s="60"/>
      <c r="G95" s="60"/>
      <c r="H95" s="60"/>
      <c r="I95" s="60"/>
      <c r="J95" s="60"/>
    </row>
    <row r="96" spans="1:10" ht="27.6" x14ac:dyDescent="0.3">
      <c r="A96" s="60"/>
      <c r="B96" s="65" t="s">
        <v>111</v>
      </c>
      <c r="C96" s="66" t="s">
        <v>112</v>
      </c>
      <c r="D96" s="66" t="s">
        <v>46</v>
      </c>
      <c r="E96" s="66" t="s">
        <v>47</v>
      </c>
      <c r="F96" s="66" t="s">
        <v>48</v>
      </c>
      <c r="G96" s="66" t="s">
        <v>49</v>
      </c>
      <c r="H96" s="66" t="s">
        <v>110</v>
      </c>
      <c r="I96" s="66" t="s">
        <v>51</v>
      </c>
      <c r="J96" s="73"/>
    </row>
    <row r="97" spans="1:10" x14ac:dyDescent="0.3">
      <c r="A97" s="60"/>
      <c r="B97" s="61"/>
      <c r="C97" s="62" t="s">
        <v>139</v>
      </c>
      <c r="D97" s="61" t="s">
        <v>115</v>
      </c>
      <c r="E97" s="61" t="s">
        <v>115</v>
      </c>
      <c r="F97" s="61" t="s">
        <v>115</v>
      </c>
      <c r="G97" s="61" t="s">
        <v>115</v>
      </c>
      <c r="H97" s="61" t="s">
        <v>115</v>
      </c>
      <c r="I97" s="61" t="s">
        <v>115</v>
      </c>
      <c r="J97" s="60"/>
    </row>
    <row r="98" spans="1:10" x14ac:dyDescent="0.3">
      <c r="A98" s="60"/>
      <c r="B98" s="61">
        <v>1</v>
      </c>
      <c r="C98" s="62" t="s">
        <v>140</v>
      </c>
      <c r="D98" s="61" t="s">
        <v>118</v>
      </c>
      <c r="E98" s="61" t="s">
        <v>62</v>
      </c>
      <c r="F98" s="61" t="s">
        <v>122</v>
      </c>
      <c r="G98" s="61" t="s">
        <v>116</v>
      </c>
      <c r="H98" s="61" t="s">
        <v>138</v>
      </c>
      <c r="I98" s="61" t="s">
        <v>116</v>
      </c>
      <c r="J98" s="60"/>
    </row>
    <row r="99" spans="1:10" x14ac:dyDescent="0.3">
      <c r="A99" s="60"/>
      <c r="B99" s="61">
        <v>2</v>
      </c>
      <c r="C99" s="62" t="s">
        <v>141</v>
      </c>
      <c r="D99" s="61" t="s">
        <v>116</v>
      </c>
      <c r="E99" s="61" t="s">
        <v>62</v>
      </c>
      <c r="F99" s="61" t="s">
        <v>122</v>
      </c>
      <c r="G99" s="61" t="s">
        <v>116</v>
      </c>
      <c r="H99" s="61" t="s">
        <v>116</v>
      </c>
      <c r="I99" s="61" t="s">
        <v>116</v>
      </c>
      <c r="J99" s="60"/>
    </row>
    <row r="100" spans="1:10" x14ac:dyDescent="0.3">
      <c r="A100" s="60"/>
      <c r="B100" s="61">
        <v>3</v>
      </c>
      <c r="C100" s="62" t="s">
        <v>142</v>
      </c>
      <c r="D100" s="61" t="s">
        <v>116</v>
      </c>
      <c r="E100" s="61" t="s">
        <v>62</v>
      </c>
      <c r="F100" s="61" t="s">
        <v>116</v>
      </c>
      <c r="G100" s="61" t="s">
        <v>116</v>
      </c>
      <c r="H100" s="61" t="s">
        <v>116</v>
      </c>
      <c r="I100" s="61" t="s">
        <v>116</v>
      </c>
      <c r="J100" s="60"/>
    </row>
    <row r="101" spans="1:10" x14ac:dyDescent="0.3">
      <c r="A101" s="60"/>
      <c r="B101" s="61">
        <v>4</v>
      </c>
      <c r="C101" s="62" t="s">
        <v>143</v>
      </c>
      <c r="D101" s="61" t="s">
        <v>116</v>
      </c>
      <c r="E101" s="61" t="s">
        <v>116</v>
      </c>
      <c r="F101" s="61" t="s">
        <v>116</v>
      </c>
      <c r="G101" s="61" t="s">
        <v>116</v>
      </c>
      <c r="H101" s="61" t="s">
        <v>116</v>
      </c>
      <c r="I101" s="61" t="s">
        <v>116</v>
      </c>
      <c r="J101" s="60"/>
    </row>
    <row r="102" spans="1:10" x14ac:dyDescent="0.3">
      <c r="A102" s="60"/>
      <c r="B102" s="61"/>
      <c r="C102" s="63" t="s">
        <v>144</v>
      </c>
      <c r="D102" s="64" t="s">
        <v>114</v>
      </c>
      <c r="E102" s="64" t="s">
        <v>114</v>
      </c>
      <c r="F102" s="64" t="s">
        <v>114</v>
      </c>
      <c r="G102" s="64" t="s">
        <v>114</v>
      </c>
      <c r="H102" s="64" t="s">
        <v>114</v>
      </c>
      <c r="I102" s="64" t="s">
        <v>114</v>
      </c>
      <c r="J102" s="74"/>
    </row>
    <row r="103" spans="1:10" x14ac:dyDescent="0.3">
      <c r="A103" s="60"/>
      <c r="B103" s="61">
        <v>5</v>
      </c>
      <c r="C103" s="62" t="s">
        <v>145</v>
      </c>
      <c r="D103" s="61" t="s">
        <v>116</v>
      </c>
      <c r="E103" s="61" t="s">
        <v>116</v>
      </c>
      <c r="F103" s="61" t="s">
        <v>116</v>
      </c>
      <c r="G103" s="61" t="s">
        <v>116</v>
      </c>
      <c r="H103" s="61" t="s">
        <v>116</v>
      </c>
      <c r="I103" s="61" t="s">
        <v>62</v>
      </c>
      <c r="J103" s="60"/>
    </row>
    <row r="104" spans="1:10" x14ac:dyDescent="0.3">
      <c r="A104" s="60"/>
      <c r="B104" s="61">
        <v>6</v>
      </c>
      <c r="C104" s="62" t="s">
        <v>146</v>
      </c>
      <c r="D104" s="61" t="s">
        <v>122</v>
      </c>
      <c r="E104" s="61" t="s">
        <v>116</v>
      </c>
      <c r="F104" s="61" t="s">
        <v>116</v>
      </c>
      <c r="G104" s="61" t="s">
        <v>116</v>
      </c>
      <c r="H104" s="61"/>
      <c r="I104" s="61"/>
      <c r="J104" s="60"/>
    </row>
    <row r="105" spans="1:10" x14ac:dyDescent="0.3">
      <c r="A105" s="60"/>
      <c r="B105" s="61">
        <v>7</v>
      </c>
      <c r="C105" s="62" t="s">
        <v>147</v>
      </c>
      <c r="D105" s="61" t="s">
        <v>122</v>
      </c>
      <c r="E105" s="61" t="s">
        <v>116</v>
      </c>
      <c r="F105" s="61" t="s">
        <v>116</v>
      </c>
      <c r="G105" s="61" t="s">
        <v>116</v>
      </c>
      <c r="H105" s="61"/>
      <c r="I105" s="61"/>
      <c r="J105" s="60"/>
    </row>
    <row r="106" spans="1:10" x14ac:dyDescent="0.3">
      <c r="A106" s="60"/>
      <c r="B106" s="61"/>
      <c r="C106" s="62"/>
      <c r="D106" s="62"/>
      <c r="E106" s="62"/>
      <c r="F106" s="62"/>
      <c r="G106" s="62"/>
      <c r="H106" s="62"/>
      <c r="I106" s="62"/>
      <c r="J106" s="75"/>
    </row>
    <row r="107" spans="1:10" ht="43.5" customHeight="1" x14ac:dyDescent="0.3">
      <c r="A107" s="60"/>
      <c r="B107" s="60"/>
      <c r="C107" s="60"/>
      <c r="D107" s="60"/>
      <c r="E107" s="60"/>
      <c r="F107" s="60"/>
      <c r="G107" s="60"/>
      <c r="H107" s="60"/>
      <c r="I107" s="60"/>
      <c r="J107" s="60"/>
    </row>
    <row r="108" spans="1:10" ht="11.25" customHeight="1" x14ac:dyDescent="0.3">
      <c r="A108" s="60"/>
      <c r="B108" s="60"/>
      <c r="C108" s="60"/>
      <c r="D108" s="60"/>
      <c r="E108" s="60"/>
      <c r="F108" s="60"/>
      <c r="G108" s="60"/>
      <c r="H108" s="60"/>
      <c r="I108" s="60"/>
      <c r="J108" s="60"/>
    </row>
    <row r="109" spans="1:10" x14ac:dyDescent="0.3">
      <c r="A109" s="60"/>
      <c r="B109" s="139" t="s">
        <v>113</v>
      </c>
      <c r="C109" s="139"/>
      <c r="D109" s="139"/>
      <c r="E109" s="139"/>
      <c r="F109" s="139"/>
      <c r="G109" s="139"/>
      <c r="H109" s="139"/>
      <c r="I109" s="139"/>
      <c r="J109" s="72"/>
    </row>
    <row r="110" spans="1:10" x14ac:dyDescent="0.3">
      <c r="A110" s="60"/>
      <c r="B110" s="139" t="s">
        <v>119</v>
      </c>
      <c r="C110" s="139"/>
      <c r="D110" s="139"/>
      <c r="E110" s="139"/>
      <c r="F110" s="139"/>
      <c r="G110" s="139"/>
      <c r="H110" s="139"/>
      <c r="I110" s="139"/>
      <c r="J110" s="72"/>
    </row>
    <row r="111" spans="1:10" x14ac:dyDescent="0.3">
      <c r="A111" s="60"/>
      <c r="B111" s="139" t="s">
        <v>120</v>
      </c>
      <c r="C111" s="139"/>
      <c r="D111" s="139"/>
      <c r="E111" s="139"/>
      <c r="F111" s="139"/>
      <c r="G111" s="139"/>
      <c r="H111" s="139"/>
      <c r="I111" s="139"/>
      <c r="J111" s="72"/>
    </row>
    <row r="112" spans="1:10" x14ac:dyDescent="0.3">
      <c r="A112" s="60"/>
      <c r="B112" s="60"/>
      <c r="C112" s="60"/>
      <c r="D112" s="60"/>
      <c r="E112" s="60"/>
      <c r="F112" s="60"/>
      <c r="G112" s="60"/>
      <c r="H112" s="60"/>
      <c r="I112" s="60"/>
      <c r="J112" s="60"/>
    </row>
    <row r="113" spans="1:10" ht="27.6" x14ac:dyDescent="0.3">
      <c r="A113" s="60"/>
      <c r="B113" s="65" t="s">
        <v>111</v>
      </c>
      <c r="C113" s="66" t="s">
        <v>112</v>
      </c>
      <c r="D113" s="66" t="s">
        <v>46</v>
      </c>
      <c r="E113" s="66" t="s">
        <v>47</v>
      </c>
      <c r="F113" s="66" t="s">
        <v>48</v>
      </c>
      <c r="G113" s="66" t="s">
        <v>49</v>
      </c>
      <c r="H113" s="66" t="s">
        <v>110</v>
      </c>
      <c r="I113" s="66" t="s">
        <v>51</v>
      </c>
      <c r="J113" s="73"/>
    </row>
    <row r="114" spans="1:10" x14ac:dyDescent="0.3">
      <c r="A114" s="60"/>
      <c r="B114" s="61"/>
      <c r="C114" s="62" t="s">
        <v>139</v>
      </c>
      <c r="D114" s="62" t="s">
        <v>115</v>
      </c>
      <c r="E114" s="62" t="s">
        <v>115</v>
      </c>
      <c r="F114" s="62" t="s">
        <v>115</v>
      </c>
      <c r="G114" s="62" t="s">
        <v>115</v>
      </c>
      <c r="H114" s="62" t="s">
        <v>115</v>
      </c>
      <c r="I114" s="62" t="s">
        <v>115</v>
      </c>
      <c r="J114" s="75"/>
    </row>
    <row r="115" spans="1:10" x14ac:dyDescent="0.3">
      <c r="A115" s="60"/>
      <c r="B115" s="61">
        <v>1</v>
      </c>
      <c r="C115" s="62" t="s">
        <v>140</v>
      </c>
      <c r="D115" s="62"/>
      <c r="E115" s="62" t="s">
        <v>67</v>
      </c>
      <c r="F115" s="62" t="s">
        <v>71</v>
      </c>
      <c r="G115" s="62" t="s">
        <v>69</v>
      </c>
      <c r="H115" s="62"/>
      <c r="I115" s="62" t="s">
        <v>70</v>
      </c>
      <c r="J115" s="75"/>
    </row>
    <row r="116" spans="1:10" x14ac:dyDescent="0.3">
      <c r="A116" s="60"/>
      <c r="B116" s="61">
        <v>2</v>
      </c>
      <c r="C116" s="62" t="s">
        <v>141</v>
      </c>
      <c r="D116" s="62" t="s">
        <v>68</v>
      </c>
      <c r="E116" s="62" t="s">
        <v>67</v>
      </c>
      <c r="F116" s="62" t="s">
        <v>71</v>
      </c>
      <c r="G116" s="62" t="s">
        <v>69</v>
      </c>
      <c r="H116" s="62"/>
      <c r="I116" s="62" t="s">
        <v>70</v>
      </c>
      <c r="J116" s="75"/>
    </row>
    <row r="117" spans="1:10" x14ac:dyDescent="0.3">
      <c r="A117" s="60"/>
      <c r="B117" s="61">
        <v>3</v>
      </c>
      <c r="C117" s="62" t="s">
        <v>142</v>
      </c>
      <c r="D117" s="62" t="s">
        <v>68</v>
      </c>
      <c r="E117" s="70" t="s">
        <v>66</v>
      </c>
      <c r="F117" s="62" t="s">
        <v>68</v>
      </c>
      <c r="G117" s="62" t="s">
        <v>67</v>
      </c>
      <c r="H117" s="62"/>
      <c r="I117" s="62" t="s">
        <v>66</v>
      </c>
      <c r="J117" s="75"/>
    </row>
    <row r="118" spans="1:10" x14ac:dyDescent="0.3">
      <c r="A118" s="60"/>
      <c r="B118" s="61">
        <v>4</v>
      </c>
      <c r="C118" s="62" t="s">
        <v>143</v>
      </c>
      <c r="D118" s="62"/>
      <c r="E118" s="62" t="s">
        <v>66</v>
      </c>
      <c r="F118" s="62" t="s">
        <v>68</v>
      </c>
      <c r="G118" s="62" t="s">
        <v>67</v>
      </c>
      <c r="H118" s="62"/>
      <c r="I118" s="62" t="s">
        <v>66</v>
      </c>
      <c r="J118" s="75"/>
    </row>
    <row r="119" spans="1:10" x14ac:dyDescent="0.3">
      <c r="A119" s="60"/>
      <c r="B119" s="61"/>
      <c r="C119" s="63" t="s">
        <v>144</v>
      </c>
      <c r="D119" s="71" t="s">
        <v>114</v>
      </c>
      <c r="E119" s="71" t="s">
        <v>114</v>
      </c>
      <c r="F119" s="71" t="s">
        <v>114</v>
      </c>
      <c r="G119" s="71" t="s">
        <v>114</v>
      </c>
      <c r="H119" s="71" t="s">
        <v>114</v>
      </c>
      <c r="I119" s="71" t="s">
        <v>114</v>
      </c>
      <c r="J119" s="72"/>
    </row>
    <row r="120" spans="1:10" x14ac:dyDescent="0.3">
      <c r="A120" s="60"/>
      <c r="B120" s="61">
        <v>5</v>
      </c>
      <c r="C120" s="62" t="s">
        <v>145</v>
      </c>
      <c r="D120" s="62"/>
      <c r="E120" s="62"/>
      <c r="F120" s="62"/>
      <c r="G120" s="62"/>
      <c r="H120" s="62"/>
      <c r="I120" s="62"/>
      <c r="J120" s="75"/>
    </row>
    <row r="121" spans="1:10" x14ac:dyDescent="0.3">
      <c r="A121" s="60"/>
      <c r="B121" s="61">
        <v>6</v>
      </c>
      <c r="C121" s="62" t="s">
        <v>146</v>
      </c>
      <c r="D121" s="62" t="s">
        <v>71</v>
      </c>
      <c r="E121" s="62" t="s">
        <v>69</v>
      </c>
      <c r="F121" s="62" t="s">
        <v>70</v>
      </c>
      <c r="G121" s="62"/>
      <c r="H121" s="62"/>
      <c r="I121" s="62"/>
      <c r="J121" s="75"/>
    </row>
    <row r="122" spans="1:10" x14ac:dyDescent="0.3">
      <c r="A122" s="60"/>
      <c r="B122" s="61">
        <v>7</v>
      </c>
      <c r="C122" s="62" t="s">
        <v>147</v>
      </c>
      <c r="D122" s="62" t="s">
        <v>71</v>
      </c>
      <c r="E122" s="62" t="s">
        <v>69</v>
      </c>
      <c r="F122" s="62" t="s">
        <v>70</v>
      </c>
      <c r="G122" s="62"/>
      <c r="H122" s="62"/>
      <c r="I122" s="62"/>
      <c r="J122" s="75"/>
    </row>
    <row r="123" spans="1:10" x14ac:dyDescent="0.3">
      <c r="A123" s="60"/>
      <c r="B123" s="61"/>
      <c r="C123" s="62"/>
      <c r="D123" s="62"/>
      <c r="E123" s="62"/>
      <c r="F123" s="62"/>
      <c r="G123" s="62"/>
      <c r="H123" s="62"/>
      <c r="I123" s="62"/>
      <c r="J123" s="75"/>
    </row>
    <row r="124" spans="1:10" x14ac:dyDescent="0.3">
      <c r="A124" s="60"/>
      <c r="B124" s="60"/>
      <c r="C124" s="60"/>
      <c r="D124" s="60"/>
      <c r="E124" s="60"/>
      <c r="F124" s="60"/>
      <c r="G124" s="60"/>
      <c r="H124" s="60"/>
      <c r="I124" s="60"/>
      <c r="J124" s="60"/>
    </row>
    <row r="125" spans="1:10" x14ac:dyDescent="0.3">
      <c r="A125" s="60"/>
      <c r="B125" s="60"/>
      <c r="C125" s="60"/>
      <c r="D125" s="60"/>
      <c r="E125" s="60"/>
      <c r="F125" s="60"/>
      <c r="G125" s="60"/>
      <c r="H125" s="60"/>
      <c r="I125" s="60"/>
      <c r="J125" s="60"/>
    </row>
    <row r="126" spans="1:10" x14ac:dyDescent="0.3">
      <c r="A126" s="60"/>
      <c r="B126" s="60"/>
      <c r="C126" s="60"/>
      <c r="D126" s="60"/>
      <c r="E126" s="60"/>
      <c r="F126" s="60"/>
      <c r="G126" s="60"/>
      <c r="H126" s="60"/>
      <c r="I126" s="60"/>
      <c r="J126" s="60"/>
    </row>
    <row r="127" spans="1:10" x14ac:dyDescent="0.3">
      <c r="A127" s="60"/>
      <c r="B127" s="139" t="s">
        <v>113</v>
      </c>
      <c r="C127" s="139"/>
      <c r="D127" s="139"/>
      <c r="E127" s="139"/>
      <c r="F127" s="139"/>
      <c r="G127" s="139"/>
      <c r="H127" s="139"/>
      <c r="I127" s="139"/>
      <c r="J127" s="72"/>
    </row>
    <row r="128" spans="1:10" x14ac:dyDescent="0.3">
      <c r="A128" s="60"/>
      <c r="B128" s="139" t="s">
        <v>119</v>
      </c>
      <c r="C128" s="139"/>
      <c r="D128" s="139"/>
      <c r="E128" s="139"/>
      <c r="F128" s="139"/>
      <c r="G128" s="139"/>
      <c r="H128" s="139"/>
      <c r="I128" s="139"/>
      <c r="J128" s="72"/>
    </row>
    <row r="129" spans="1:10" x14ac:dyDescent="0.3">
      <c r="A129" s="60"/>
      <c r="B129" s="139" t="s">
        <v>121</v>
      </c>
      <c r="C129" s="139"/>
      <c r="D129" s="139"/>
      <c r="E129" s="139"/>
      <c r="F129" s="139"/>
      <c r="G129" s="139"/>
      <c r="H129" s="139"/>
      <c r="I129" s="139"/>
      <c r="J129" s="72"/>
    </row>
    <row r="130" spans="1:10" x14ac:dyDescent="0.3">
      <c r="A130" s="60"/>
      <c r="B130" s="60"/>
      <c r="C130" s="60"/>
      <c r="D130" s="60"/>
      <c r="E130" s="60"/>
      <c r="F130" s="60"/>
      <c r="G130" s="60"/>
      <c r="H130" s="60"/>
      <c r="I130" s="60"/>
      <c r="J130" s="60"/>
    </row>
    <row r="131" spans="1:10" ht="27.6" x14ac:dyDescent="0.3">
      <c r="A131" s="60"/>
      <c r="B131" s="65" t="s">
        <v>111</v>
      </c>
      <c r="C131" s="66" t="s">
        <v>112</v>
      </c>
      <c r="D131" s="66" t="s">
        <v>46</v>
      </c>
      <c r="E131" s="66" t="s">
        <v>47</v>
      </c>
      <c r="F131" s="66" t="s">
        <v>48</v>
      </c>
      <c r="G131" s="66" t="s">
        <v>49</v>
      </c>
      <c r="H131" s="66" t="s">
        <v>110</v>
      </c>
      <c r="I131" s="66" t="s">
        <v>51</v>
      </c>
      <c r="J131" s="73"/>
    </row>
    <row r="132" spans="1:10" x14ac:dyDescent="0.3">
      <c r="A132" s="60"/>
      <c r="B132" s="61"/>
      <c r="C132" s="62" t="s">
        <v>139</v>
      </c>
      <c r="D132" s="62" t="s">
        <v>115</v>
      </c>
      <c r="E132" s="62" t="s">
        <v>115</v>
      </c>
      <c r="F132" s="62" t="s">
        <v>115</v>
      </c>
      <c r="G132" s="62" t="s">
        <v>115</v>
      </c>
      <c r="H132" s="62" t="s">
        <v>115</v>
      </c>
      <c r="I132" s="62" t="s">
        <v>115</v>
      </c>
      <c r="J132" s="75"/>
    </row>
    <row r="133" spans="1:10" x14ac:dyDescent="0.3">
      <c r="A133" s="60"/>
      <c r="B133" s="61">
        <v>1</v>
      </c>
      <c r="C133" s="62" t="s">
        <v>140</v>
      </c>
      <c r="D133" s="62"/>
      <c r="E133" s="62" t="s">
        <v>71</v>
      </c>
      <c r="F133" s="62" t="s">
        <v>69</v>
      </c>
      <c r="G133" s="62" t="s">
        <v>66</v>
      </c>
      <c r="H133" s="62"/>
      <c r="I133" s="62" t="s">
        <v>67</v>
      </c>
      <c r="J133" s="75"/>
    </row>
    <row r="134" spans="1:10" x14ac:dyDescent="0.3">
      <c r="A134" s="60"/>
      <c r="B134" s="61">
        <v>2</v>
      </c>
      <c r="C134" s="62" t="s">
        <v>141</v>
      </c>
      <c r="D134" s="62" t="s">
        <v>66</v>
      </c>
      <c r="E134" s="62" t="s">
        <v>71</v>
      </c>
      <c r="F134" s="62" t="s">
        <v>69</v>
      </c>
      <c r="G134" s="62" t="s">
        <v>66</v>
      </c>
      <c r="H134" s="62"/>
      <c r="I134" s="62" t="s">
        <v>67</v>
      </c>
      <c r="J134" s="75"/>
    </row>
    <row r="135" spans="1:10" x14ac:dyDescent="0.3">
      <c r="A135" s="60"/>
      <c r="B135" s="61">
        <v>3</v>
      </c>
      <c r="C135" s="62" t="s">
        <v>142</v>
      </c>
      <c r="D135" s="62" t="s">
        <v>66</v>
      </c>
      <c r="E135" s="62" t="s">
        <v>123</v>
      </c>
      <c r="F135" s="62" t="s">
        <v>69</v>
      </c>
      <c r="G135" s="62" t="s">
        <v>70</v>
      </c>
      <c r="H135" s="62"/>
      <c r="I135" s="62" t="s">
        <v>68</v>
      </c>
      <c r="J135" s="75"/>
    </row>
    <row r="136" spans="1:10" x14ac:dyDescent="0.3">
      <c r="A136" s="60"/>
      <c r="B136" s="61">
        <v>4</v>
      </c>
      <c r="C136" s="62" t="s">
        <v>143</v>
      </c>
      <c r="D136" s="62"/>
      <c r="E136" s="62"/>
      <c r="F136" s="62" t="s">
        <v>67</v>
      </c>
      <c r="G136" s="62" t="s">
        <v>70</v>
      </c>
      <c r="H136" s="62"/>
      <c r="I136" s="62" t="s">
        <v>68</v>
      </c>
      <c r="J136" s="75"/>
    </row>
    <row r="137" spans="1:10" x14ac:dyDescent="0.3">
      <c r="A137" s="60"/>
      <c r="B137" s="61"/>
      <c r="C137" s="63" t="s">
        <v>144</v>
      </c>
      <c r="D137" s="71" t="s">
        <v>114</v>
      </c>
      <c r="E137" s="71" t="s">
        <v>114</v>
      </c>
      <c r="F137" s="71" t="s">
        <v>114</v>
      </c>
      <c r="G137" s="71" t="s">
        <v>114</v>
      </c>
      <c r="H137" s="71" t="s">
        <v>114</v>
      </c>
      <c r="I137" s="71" t="s">
        <v>114</v>
      </c>
      <c r="J137" s="72"/>
    </row>
    <row r="138" spans="1:10" x14ac:dyDescent="0.3">
      <c r="A138" s="60"/>
      <c r="B138" s="61">
        <v>5</v>
      </c>
      <c r="C138" s="62" t="s">
        <v>145</v>
      </c>
      <c r="D138" s="62" t="s">
        <v>69</v>
      </c>
      <c r="E138" s="62" t="s">
        <v>68</v>
      </c>
      <c r="F138" s="62" t="s">
        <v>67</v>
      </c>
      <c r="G138" s="62" t="s">
        <v>70</v>
      </c>
      <c r="H138" s="62"/>
      <c r="I138" s="62" t="s">
        <v>71</v>
      </c>
      <c r="J138" s="75"/>
    </row>
    <row r="139" spans="1:10" x14ac:dyDescent="0.3">
      <c r="A139" s="60"/>
      <c r="B139" s="61">
        <v>6</v>
      </c>
      <c r="C139" s="62" t="s">
        <v>146</v>
      </c>
      <c r="D139" s="62" t="s">
        <v>70</v>
      </c>
      <c r="E139" s="62" t="s">
        <v>68</v>
      </c>
      <c r="F139" s="62"/>
      <c r="G139" s="62"/>
      <c r="H139" s="62"/>
      <c r="I139" s="62"/>
      <c r="J139" s="75"/>
    </row>
    <row r="140" spans="1:10" x14ac:dyDescent="0.3">
      <c r="A140" s="60"/>
      <c r="B140" s="61">
        <v>7</v>
      </c>
      <c r="C140" s="62" t="s">
        <v>147</v>
      </c>
      <c r="D140" s="62"/>
      <c r="E140" s="62"/>
      <c r="F140" s="62"/>
      <c r="G140" s="62"/>
      <c r="H140" s="62"/>
      <c r="I140" s="62"/>
      <c r="J140" s="75"/>
    </row>
    <row r="141" spans="1:10" x14ac:dyDescent="0.3">
      <c r="A141" s="60"/>
      <c r="B141" s="61"/>
      <c r="C141" s="62"/>
      <c r="D141" s="62"/>
      <c r="E141" s="62"/>
      <c r="F141" s="62"/>
      <c r="G141" s="62"/>
      <c r="H141" s="62"/>
      <c r="I141" s="62"/>
      <c r="J141" s="75"/>
    </row>
    <row r="142" spans="1:10" x14ac:dyDescent="0.3">
      <c r="A142" s="60"/>
      <c r="B142" s="60"/>
      <c r="C142" s="60"/>
      <c r="D142" s="60"/>
      <c r="E142" s="60"/>
      <c r="F142" s="60"/>
      <c r="G142" s="60"/>
      <c r="H142" s="60"/>
      <c r="I142" s="60"/>
      <c r="J142" s="60"/>
    </row>
    <row r="143" spans="1:10" x14ac:dyDescent="0.3">
      <c r="A143" s="60"/>
      <c r="B143" s="60"/>
      <c r="C143" s="60"/>
      <c r="D143" s="60"/>
      <c r="E143" s="60"/>
      <c r="F143" s="60"/>
      <c r="G143" s="60"/>
      <c r="H143" s="60"/>
      <c r="I143" s="60"/>
      <c r="J143" s="60"/>
    </row>
    <row r="144" spans="1:10" x14ac:dyDescent="0.3">
      <c r="A144" s="60"/>
      <c r="B144" s="60"/>
      <c r="C144" s="60"/>
      <c r="D144" s="60"/>
      <c r="E144" s="60"/>
      <c r="F144" s="60"/>
      <c r="G144" s="60"/>
      <c r="H144" s="60"/>
      <c r="I144" s="60"/>
      <c r="J144" s="60"/>
    </row>
    <row r="145" spans="1:10" x14ac:dyDescent="0.3">
      <c r="A145" s="60"/>
      <c r="B145" s="60"/>
      <c r="C145" s="60"/>
      <c r="D145" s="60"/>
      <c r="E145" s="60"/>
      <c r="F145" s="60"/>
      <c r="G145" s="60"/>
      <c r="H145" s="60"/>
      <c r="I145" s="60"/>
      <c r="J145" s="60"/>
    </row>
  </sheetData>
  <mergeCells count="24">
    <mergeCell ref="B127:I127"/>
    <mergeCell ref="B128:I128"/>
    <mergeCell ref="B129:I129"/>
    <mergeCell ref="B92:I92"/>
    <mergeCell ref="B93:I93"/>
    <mergeCell ref="B94:I94"/>
    <mergeCell ref="B109:I109"/>
    <mergeCell ref="B110:I110"/>
    <mergeCell ref="B111:I111"/>
    <mergeCell ref="B1:I1"/>
    <mergeCell ref="B2:I2"/>
    <mergeCell ref="B3:I3"/>
    <mergeCell ref="B76:I76"/>
    <mergeCell ref="B18:I18"/>
    <mergeCell ref="B19:I19"/>
    <mergeCell ref="B20:I20"/>
    <mergeCell ref="B39:I39"/>
    <mergeCell ref="B40:I40"/>
    <mergeCell ref="B41:I41"/>
    <mergeCell ref="B55:I55"/>
    <mergeCell ref="B56:I56"/>
    <mergeCell ref="B57:I57"/>
    <mergeCell ref="B74:I74"/>
    <mergeCell ref="B75:I75"/>
  </mergeCells>
  <pageMargins left="0.19685039370078741" right="0.9055118110236221" top="0.15748031496062992" bottom="0.15748031496062992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Kaldik Baru</vt:lpstr>
      <vt:lpstr>Kalender</vt:lpstr>
      <vt:lpstr>H. Efektif</vt:lpstr>
      <vt:lpstr>Jumlah JP</vt:lpstr>
      <vt:lpstr>Jadwal Kokuli Blok</vt:lpstr>
      <vt:lpstr>Hitung JP Kelas</vt:lpstr>
      <vt:lpstr>Hitung JP Mapel</vt:lpstr>
      <vt:lpstr>lmpiran KTSP </vt:lpstr>
      <vt:lpstr>Jadwal Pelajaran 6</vt:lpstr>
      <vt:lpstr>'Jumlah JP'!Print_Area</vt:lpstr>
      <vt:lpstr>Kalender!Print_Area</vt:lpstr>
    </vt:vector>
  </TitlesOfParts>
  <Company>BANJAR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SDN 4 HEGARSARI</dc:creator>
  <cp:lastModifiedBy>acer ohs</cp:lastModifiedBy>
  <cp:lastPrinted>2023-08-22T11:32:52Z</cp:lastPrinted>
  <dcterms:created xsi:type="dcterms:W3CDTF">2009-02-25T01:16:58Z</dcterms:created>
  <dcterms:modified xsi:type="dcterms:W3CDTF">2025-07-31T12:59:08Z</dcterms:modified>
</cp:coreProperties>
</file>