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i\Downloads\"/>
    </mc:Choice>
  </mc:AlternateContent>
  <xr:revisionPtr revIDLastSave="0" documentId="13_ncr:1_{F8EEAE93-F570-43AB-BD1A-F3E72CB7C4B1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Program Remedial Kelas 4 a," sheetId="23" r:id="rId1"/>
    <sheet name="Program Remedial Kelas 4 b." sheetId="22" r:id="rId2"/>
    <sheet name="Program Remedial Kelas 3" sheetId="16" r:id="rId3"/>
    <sheet name="Sumatif Lingkup Materi (2)" sheetId="20" r:id="rId4"/>
    <sheet name="oke Lingk. 1" sheetId="1" r:id="rId5"/>
    <sheet name="SAS" sheetId="14" r:id="rId6"/>
    <sheet name="Prog.Perbaikan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38" i="23" l="1"/>
  <c r="AQ38" i="23"/>
  <c r="BK37" i="23"/>
  <c r="AQ37" i="23"/>
  <c r="BK33" i="23"/>
  <c r="AQ33" i="23"/>
  <c r="BK32" i="23"/>
  <c r="AQ32" i="23"/>
  <c r="BP29" i="23"/>
  <c r="BQ29" i="23" s="1"/>
  <c r="BR29" i="23" s="1"/>
  <c r="BB29" i="23"/>
  <c r="BC29" i="23" s="1"/>
  <c r="BA29" i="23"/>
  <c r="R29" i="23"/>
  <c r="S29" i="23" s="1"/>
  <c r="Q29" i="23"/>
  <c r="BP28" i="23"/>
  <c r="BA28" i="23"/>
  <c r="BB28" i="23" s="1"/>
  <c r="BC28" i="23" s="1"/>
  <c r="R28" i="23"/>
  <c r="Q28" i="23"/>
  <c r="BP27" i="23"/>
  <c r="BA27" i="23"/>
  <c r="BB27" i="23" s="1"/>
  <c r="BC27" i="23" s="1"/>
  <c r="R27" i="23"/>
  <c r="Q27" i="23"/>
  <c r="BP26" i="23"/>
  <c r="BA26" i="23"/>
  <c r="BB26" i="23" s="1"/>
  <c r="BC26" i="23" s="1"/>
  <c r="R26" i="23"/>
  <c r="Q26" i="23"/>
  <c r="BP25" i="23"/>
  <c r="BA25" i="23"/>
  <c r="BB25" i="23" s="1"/>
  <c r="BC25" i="23" s="1"/>
  <c r="R25" i="23"/>
  <c r="Q25" i="23"/>
  <c r="BP24" i="23"/>
  <c r="BA24" i="23"/>
  <c r="BB24" i="23" s="1"/>
  <c r="BC24" i="23" s="1"/>
  <c r="R24" i="23"/>
  <c r="Q24" i="23"/>
  <c r="BP23" i="23"/>
  <c r="BA23" i="23"/>
  <c r="BB23" i="23" s="1"/>
  <c r="BC23" i="23" s="1"/>
  <c r="R23" i="23"/>
  <c r="Q23" i="23"/>
  <c r="BP22" i="23"/>
  <c r="BA22" i="23"/>
  <c r="BB22" i="23" s="1"/>
  <c r="BC22" i="23" s="1"/>
  <c r="R22" i="23"/>
  <c r="Q22" i="23"/>
  <c r="BP21" i="23"/>
  <c r="BA21" i="23"/>
  <c r="BB21" i="23" s="1"/>
  <c r="BC21" i="23" s="1"/>
  <c r="R21" i="23"/>
  <c r="Q21" i="23"/>
  <c r="BP20" i="23"/>
  <c r="BA20" i="23"/>
  <c r="BB20" i="23" s="1"/>
  <c r="BC20" i="23" s="1"/>
  <c r="R20" i="23"/>
  <c r="Q20" i="23"/>
  <c r="BP19" i="23"/>
  <c r="BA19" i="23"/>
  <c r="BB19" i="23" s="1"/>
  <c r="BC19" i="23" s="1"/>
  <c r="Q19" i="23"/>
  <c r="R19" i="23" s="1"/>
  <c r="S19" i="23" s="1"/>
  <c r="BP18" i="23"/>
  <c r="BQ18" i="23" s="1"/>
  <c r="BR18" i="23" s="1"/>
  <c r="BA18" i="23"/>
  <c r="BB18" i="23" s="1"/>
  <c r="BC18" i="23" s="1"/>
  <c r="Q18" i="23"/>
  <c r="R18" i="23" s="1"/>
  <c r="S18" i="23" s="1"/>
  <c r="BQ17" i="23"/>
  <c r="BR17" i="23" s="1"/>
  <c r="BP17" i="23"/>
  <c r="BB17" i="23"/>
  <c r="BC17" i="23" s="1"/>
  <c r="BA17" i="23"/>
  <c r="R17" i="23"/>
  <c r="S17" i="23" s="1"/>
  <c r="Q17" i="23"/>
  <c r="BP16" i="23"/>
  <c r="BQ16" i="23" s="1"/>
  <c r="BR16" i="23" s="1"/>
  <c r="BA16" i="23"/>
  <c r="BB16" i="23" s="1"/>
  <c r="BC16" i="23" s="1"/>
  <c r="Q16" i="23"/>
  <c r="R16" i="23" s="1"/>
  <c r="S16" i="23" s="1"/>
  <c r="BP15" i="23"/>
  <c r="BQ15" i="23" s="1"/>
  <c r="BR15" i="23" s="1"/>
  <c r="BA15" i="23"/>
  <c r="BB15" i="23" s="1"/>
  <c r="BC15" i="23" s="1"/>
  <c r="R15" i="23"/>
  <c r="S15" i="23" s="1"/>
  <c r="Q15" i="23"/>
  <c r="BQ14" i="23"/>
  <c r="BR14" i="23" s="1"/>
  <c r="BP14" i="23"/>
  <c r="BB14" i="23"/>
  <c r="BC14" i="23" s="1"/>
  <c r="BA14" i="23"/>
  <c r="Q14" i="23"/>
  <c r="R14" i="23" s="1"/>
  <c r="S14" i="23" s="1"/>
  <c r="BP13" i="23"/>
  <c r="BQ13" i="23" s="1"/>
  <c r="BR13" i="23" s="1"/>
  <c r="BA13" i="23"/>
  <c r="BB13" i="23" s="1"/>
  <c r="BC13" i="23" s="1"/>
  <c r="Q13" i="23"/>
  <c r="R13" i="23" s="1"/>
  <c r="S13" i="23" s="1"/>
  <c r="BP12" i="23"/>
  <c r="BQ12" i="23" s="1"/>
  <c r="BR12" i="23" s="1"/>
  <c r="BB12" i="23"/>
  <c r="BC12" i="23" s="1"/>
  <c r="BA12" i="23"/>
  <c r="Q12" i="23"/>
  <c r="R12" i="23" s="1"/>
  <c r="BO11" i="23"/>
  <c r="BQ28" i="23" s="1"/>
  <c r="BR28" i="23" s="1"/>
  <c r="AZ11" i="23"/>
  <c r="AW6" i="23" a="1"/>
  <c r="AW6" i="23" s="1"/>
  <c r="AW5" i="23"/>
  <c r="I5" i="23"/>
  <c r="AW4" i="23"/>
  <c r="AP2" i="23"/>
  <c r="AH2" i="23"/>
  <c r="AH1" i="23"/>
  <c r="AP1" i="23" s="1"/>
  <c r="I5" i="22"/>
  <c r="AH1" i="22"/>
  <c r="AH2" i="22"/>
  <c r="AP2" i="22" s="1"/>
  <c r="BK37" i="22"/>
  <c r="AQ37" i="22"/>
  <c r="BK36" i="22"/>
  <c r="AQ36" i="22"/>
  <c r="BK32" i="22"/>
  <c r="AQ32" i="22"/>
  <c r="BK31" i="22"/>
  <c r="AQ31" i="22"/>
  <c r="BP28" i="22"/>
  <c r="BA28" i="22"/>
  <c r="Q28" i="22"/>
  <c r="R28" i="22" s="1"/>
  <c r="BP27" i="22"/>
  <c r="BA27" i="22"/>
  <c r="Q27" i="22"/>
  <c r="R27" i="22" s="1"/>
  <c r="BP26" i="22"/>
  <c r="BA26" i="22"/>
  <c r="Q26" i="22"/>
  <c r="R26" i="22" s="1"/>
  <c r="BP25" i="22"/>
  <c r="BA25" i="22"/>
  <c r="Q25" i="22"/>
  <c r="R25" i="22" s="1"/>
  <c r="BP24" i="22"/>
  <c r="BA24" i="22"/>
  <c r="Q24" i="22"/>
  <c r="R24" i="22" s="1"/>
  <c r="BP23" i="22"/>
  <c r="BA23" i="22"/>
  <c r="Q23" i="22"/>
  <c r="R23" i="22" s="1"/>
  <c r="BP22" i="22"/>
  <c r="BA22" i="22"/>
  <c r="Q22" i="22"/>
  <c r="R22" i="22" s="1"/>
  <c r="BP21" i="22"/>
  <c r="BA21" i="22"/>
  <c r="Q21" i="22"/>
  <c r="R21" i="22" s="1"/>
  <c r="BP20" i="22"/>
  <c r="BA20" i="22"/>
  <c r="Q20" i="22"/>
  <c r="R20" i="22" s="1"/>
  <c r="BP19" i="22"/>
  <c r="BA19" i="22"/>
  <c r="Q19" i="22"/>
  <c r="R19" i="22" s="1"/>
  <c r="BP18" i="22"/>
  <c r="BA18" i="22"/>
  <c r="Q18" i="22"/>
  <c r="R18" i="22" s="1"/>
  <c r="BP17" i="22"/>
  <c r="BA17" i="22"/>
  <c r="Q17" i="22"/>
  <c r="R17" i="22" s="1"/>
  <c r="BP16" i="22"/>
  <c r="BA16" i="22"/>
  <c r="Q16" i="22"/>
  <c r="R16" i="22" s="1"/>
  <c r="BP15" i="22"/>
  <c r="BA15" i="22"/>
  <c r="Q15" i="22"/>
  <c r="R15" i="22" s="1"/>
  <c r="BP14" i="22"/>
  <c r="BA14" i="22"/>
  <c r="Q14" i="22"/>
  <c r="R14" i="22" s="1"/>
  <c r="BP13" i="22"/>
  <c r="BA13" i="22"/>
  <c r="Q13" i="22"/>
  <c r="R13" i="22" s="1"/>
  <c r="BP12" i="22"/>
  <c r="BA12" i="22"/>
  <c r="Q12" i="22"/>
  <c r="R12" i="22" s="1"/>
  <c r="BO11" i="22"/>
  <c r="AZ11" i="22"/>
  <c r="AW6" i="22" a="1"/>
  <c r="AW6" i="22" s="1"/>
  <c r="AW5" i="22"/>
  <c r="AW4" i="22"/>
  <c r="AP1" i="22"/>
  <c r="F55" i="20"/>
  <c r="F54" i="20"/>
  <c r="F50" i="20"/>
  <c r="F49" i="20"/>
  <c r="U46" i="20"/>
  <c r="U45" i="20"/>
  <c r="V45" i="20" s="1"/>
  <c r="W45" i="20" s="1"/>
  <c r="V44" i="20"/>
  <c r="W44" i="20" s="1"/>
  <c r="U44" i="20"/>
  <c r="U43" i="20"/>
  <c r="V43" i="20" s="1"/>
  <c r="W43" i="20" s="1"/>
  <c r="U42" i="20"/>
  <c r="V42" i="20" s="1"/>
  <c r="W42" i="20" s="1"/>
  <c r="U41" i="20"/>
  <c r="V41" i="20" s="1"/>
  <c r="W41" i="20" s="1"/>
  <c r="U40" i="20"/>
  <c r="V40" i="20" s="1"/>
  <c r="W40" i="20" s="1"/>
  <c r="U39" i="20"/>
  <c r="V39" i="20" s="1"/>
  <c r="W39" i="20" s="1"/>
  <c r="U38" i="20"/>
  <c r="U37" i="20"/>
  <c r="V37" i="20" s="1"/>
  <c r="W37" i="20" s="1"/>
  <c r="V36" i="20"/>
  <c r="W36" i="20" s="1"/>
  <c r="U36" i="20"/>
  <c r="U35" i="20"/>
  <c r="V35" i="20" s="1"/>
  <c r="W35" i="20" s="1"/>
  <c r="U34" i="20"/>
  <c r="V34" i="20" s="1"/>
  <c r="W34" i="20" s="1"/>
  <c r="U33" i="20"/>
  <c r="V33" i="20" s="1"/>
  <c r="W33" i="20" s="1"/>
  <c r="U32" i="20"/>
  <c r="V32" i="20" s="1"/>
  <c r="W32" i="20" s="1"/>
  <c r="U31" i="20"/>
  <c r="V31" i="20" s="1"/>
  <c r="W31" i="20" s="1"/>
  <c r="U30" i="20"/>
  <c r="U29" i="20"/>
  <c r="V29" i="20" s="1"/>
  <c r="W29" i="20" s="1"/>
  <c r="V28" i="20"/>
  <c r="W28" i="20" s="1"/>
  <c r="U28" i="20"/>
  <c r="U27" i="20"/>
  <c r="V27" i="20" s="1"/>
  <c r="W27" i="20" s="1"/>
  <c r="U26" i="20"/>
  <c r="V26" i="20" s="1"/>
  <c r="W26" i="20" s="1"/>
  <c r="U25" i="20"/>
  <c r="V25" i="20" s="1"/>
  <c r="W25" i="20" s="1"/>
  <c r="U24" i="20"/>
  <c r="V24" i="20" s="1"/>
  <c r="W24" i="20" s="1"/>
  <c r="U23" i="20"/>
  <c r="V23" i="20" s="1"/>
  <c r="W23" i="20" s="1"/>
  <c r="U22" i="20"/>
  <c r="U21" i="20"/>
  <c r="V21" i="20" s="1"/>
  <c r="W21" i="20" s="1"/>
  <c r="V20" i="20"/>
  <c r="W20" i="20" s="1"/>
  <c r="U20" i="20"/>
  <c r="U19" i="20"/>
  <c r="V19" i="20" s="1"/>
  <c r="W19" i="20" s="1"/>
  <c r="U18" i="20"/>
  <c r="V18" i="20" s="1"/>
  <c r="W18" i="20" s="1"/>
  <c r="U17" i="20"/>
  <c r="V17" i="20" s="1"/>
  <c r="W17" i="20" s="1"/>
  <c r="U16" i="20"/>
  <c r="V16" i="20" s="1"/>
  <c r="W16" i="20" s="1"/>
  <c r="U15" i="20"/>
  <c r="V15" i="20" s="1"/>
  <c r="W15" i="20" s="1"/>
  <c r="U14" i="20"/>
  <c r="U13" i="20"/>
  <c r="V13" i="20" s="1"/>
  <c r="W13" i="20" s="1"/>
  <c r="V12" i="20"/>
  <c r="W12" i="20" s="1"/>
  <c r="U12" i="20"/>
  <c r="T11" i="20"/>
  <c r="V46" i="20" s="1"/>
  <c r="W46" i="20" s="1"/>
  <c r="L5" i="20"/>
  <c r="D2" i="20"/>
  <c r="BI14" i="14"/>
  <c r="BI13" i="14"/>
  <c r="BI46" i="14"/>
  <c r="BI45" i="14"/>
  <c r="BI44" i="14"/>
  <c r="BI43" i="14"/>
  <c r="BI42" i="14"/>
  <c r="BI41" i="14"/>
  <c r="BI40" i="14"/>
  <c r="BI39" i="14"/>
  <c r="BI38" i="14"/>
  <c r="BI37" i="14"/>
  <c r="BI36" i="14"/>
  <c r="BI35" i="14"/>
  <c r="BI34" i="14"/>
  <c r="BI33" i="14"/>
  <c r="BI32" i="14"/>
  <c r="BI31" i="14"/>
  <c r="BI30" i="14"/>
  <c r="BI29" i="14"/>
  <c r="BI28" i="14"/>
  <c r="BI27" i="14"/>
  <c r="BI25" i="14"/>
  <c r="BI24" i="14"/>
  <c r="BI23" i="14"/>
  <c r="BI22" i="14"/>
  <c r="BI21" i="14"/>
  <c r="BI20" i="14"/>
  <c r="BI19" i="14"/>
  <c r="BI18" i="14"/>
  <c r="BI17" i="14"/>
  <c r="BI16" i="14"/>
  <c r="BI15" i="14"/>
  <c r="BH46" i="14"/>
  <c r="BH45" i="14"/>
  <c r="BH44" i="14"/>
  <c r="BH43" i="14"/>
  <c r="BH42" i="14"/>
  <c r="BH41" i="14"/>
  <c r="BH40" i="14"/>
  <c r="BH39" i="14"/>
  <c r="BH38" i="14"/>
  <c r="BH37" i="14"/>
  <c r="BH36" i="14"/>
  <c r="BH35" i="14"/>
  <c r="BH34" i="14"/>
  <c r="BH33" i="14"/>
  <c r="BH32" i="14"/>
  <c r="BH31" i="14"/>
  <c r="BH30" i="14"/>
  <c r="BH29" i="14"/>
  <c r="BH28" i="14"/>
  <c r="BH27" i="14"/>
  <c r="BH26" i="14"/>
  <c r="BI26" i="14" s="1"/>
  <c r="BH25" i="14"/>
  <c r="BH24" i="14"/>
  <c r="BH23" i="14"/>
  <c r="BH22" i="14"/>
  <c r="BH21" i="14"/>
  <c r="BH20" i="14"/>
  <c r="BH19" i="14"/>
  <c r="BH18" i="14"/>
  <c r="BH17" i="14"/>
  <c r="BH16" i="14"/>
  <c r="BH15" i="14"/>
  <c r="BH14" i="14"/>
  <c r="BH13" i="14"/>
  <c r="BG11" i="14"/>
  <c r="BH12" i="14"/>
  <c r="BQ19" i="23" l="1"/>
  <c r="BR19" i="23" s="1"/>
  <c r="BQ20" i="23"/>
  <c r="BR20" i="23" s="1"/>
  <c r="BQ21" i="23"/>
  <c r="BR21" i="23" s="1"/>
  <c r="BQ22" i="23"/>
  <c r="BR22" i="23" s="1"/>
  <c r="BQ23" i="23"/>
  <c r="BR23" i="23" s="1"/>
  <c r="BQ24" i="23"/>
  <c r="BR24" i="23" s="1"/>
  <c r="BQ25" i="23"/>
  <c r="BR25" i="23" s="1"/>
  <c r="BQ26" i="23"/>
  <c r="BR26" i="23" s="1"/>
  <c r="BQ27" i="23"/>
  <c r="BR27" i="23" s="1"/>
  <c r="BQ16" i="22"/>
  <c r="BR16" i="22" s="1"/>
  <c r="BQ12" i="22"/>
  <c r="BR12" i="22" s="1"/>
  <c r="BQ15" i="22"/>
  <c r="BR15" i="22" s="1"/>
  <c r="BQ23" i="22"/>
  <c r="BR23" i="22" s="1"/>
  <c r="BB12" i="22"/>
  <c r="BC12" i="22" s="1"/>
  <c r="BQ17" i="22"/>
  <c r="BR17" i="22" s="1"/>
  <c r="BB28" i="22"/>
  <c r="BC28" i="22" s="1"/>
  <c r="BB15" i="22"/>
  <c r="BC15" i="22" s="1"/>
  <c r="BB13" i="22"/>
  <c r="BC13" i="22" s="1"/>
  <c r="BQ26" i="22"/>
  <c r="BR26" i="22" s="1"/>
  <c r="BB14" i="22"/>
  <c r="BC14" i="22" s="1"/>
  <c r="BB19" i="22"/>
  <c r="BC19" i="22" s="1"/>
  <c r="BQ24" i="22"/>
  <c r="BR24" i="22" s="1"/>
  <c r="BB27" i="22"/>
  <c r="BC27" i="22" s="1"/>
  <c r="BQ19" i="22"/>
  <c r="BR19" i="22" s="1"/>
  <c r="BB22" i="22"/>
  <c r="BC22" i="22" s="1"/>
  <c r="BB23" i="22"/>
  <c r="BC23" i="22" s="1"/>
  <c r="BB26" i="22"/>
  <c r="BC26" i="22" s="1"/>
  <c r="BB21" i="22"/>
  <c r="BC21" i="22" s="1"/>
  <c r="BQ13" i="22"/>
  <c r="BR13" i="22" s="1"/>
  <c r="BB18" i="22"/>
  <c r="BC18" i="22" s="1"/>
  <c r="BB20" i="22"/>
  <c r="BC20" i="22" s="1"/>
  <c r="BQ22" i="22"/>
  <c r="BR22" i="22" s="1"/>
  <c r="BB16" i="22"/>
  <c r="BC16" i="22" s="1"/>
  <c r="BQ18" i="22"/>
  <c r="BR18" i="22" s="1"/>
  <c r="BQ20" i="22"/>
  <c r="BR20" i="22" s="1"/>
  <c r="BB25" i="22"/>
  <c r="BC25" i="22" s="1"/>
  <c r="BQ27" i="22"/>
  <c r="BR27" i="22" s="1"/>
  <c r="BQ25" i="22"/>
  <c r="BR25" i="22" s="1"/>
  <c r="BQ14" i="22"/>
  <c r="BR14" i="22" s="1"/>
  <c r="BQ21" i="22"/>
  <c r="BR21" i="22" s="1"/>
  <c r="BQ28" i="22"/>
  <c r="BR28" i="22" s="1"/>
  <c r="BB17" i="22"/>
  <c r="BC17" i="22" s="1"/>
  <c r="BB24" i="22"/>
  <c r="BC24" i="22" s="1"/>
  <c r="V14" i="20"/>
  <c r="W14" i="20" s="1"/>
  <c r="V22" i="20"/>
  <c r="W22" i="20" s="1"/>
  <c r="V30" i="20"/>
  <c r="W30" i="20" s="1"/>
  <c r="V38" i="20"/>
  <c r="W38" i="20" s="1"/>
  <c r="AQ47" i="16"/>
  <c r="AQ48" i="16"/>
  <c r="AQ52" i="16"/>
  <c r="AQ53" i="16"/>
  <c r="BK53" i="16"/>
  <c r="BK52" i="16"/>
  <c r="BK48" i="16"/>
  <c r="BK47" i="16"/>
  <c r="BP44" i="16"/>
  <c r="BA44" i="16"/>
  <c r="R44" i="16"/>
  <c r="S44" i="16" s="1"/>
  <c r="T44" i="16" s="1"/>
  <c r="BP43" i="16"/>
  <c r="BA43" i="16"/>
  <c r="R43" i="16"/>
  <c r="S43" i="16" s="1"/>
  <c r="T43" i="16" s="1"/>
  <c r="BP42" i="16"/>
  <c r="BA42" i="16"/>
  <c r="R42" i="16"/>
  <c r="S42" i="16" s="1"/>
  <c r="T42" i="16" s="1"/>
  <c r="BP41" i="16"/>
  <c r="BA41" i="16"/>
  <c r="R41" i="16"/>
  <c r="S41" i="16" s="1"/>
  <c r="T41" i="16" s="1"/>
  <c r="BP40" i="16"/>
  <c r="BA40" i="16"/>
  <c r="R40" i="16"/>
  <c r="S40" i="16" s="1"/>
  <c r="T40" i="16" s="1"/>
  <c r="BP39" i="16"/>
  <c r="BA39" i="16"/>
  <c r="R39" i="16"/>
  <c r="S39" i="16" s="1"/>
  <c r="T39" i="16" s="1"/>
  <c r="BP38" i="16"/>
  <c r="BA38" i="16"/>
  <c r="R38" i="16"/>
  <c r="S38" i="16" s="1"/>
  <c r="T38" i="16" s="1"/>
  <c r="BP37" i="16"/>
  <c r="BA37" i="16"/>
  <c r="R37" i="16"/>
  <c r="S37" i="16" s="1"/>
  <c r="T37" i="16" s="1"/>
  <c r="BP36" i="16"/>
  <c r="BA36" i="16"/>
  <c r="R36" i="16"/>
  <c r="S36" i="16" s="1"/>
  <c r="T36" i="16" s="1"/>
  <c r="BP35" i="16"/>
  <c r="BA35" i="16"/>
  <c r="R35" i="16"/>
  <c r="S35" i="16" s="1"/>
  <c r="T35" i="16" s="1"/>
  <c r="BP34" i="16"/>
  <c r="BA34" i="16"/>
  <c r="R34" i="16"/>
  <c r="S34" i="16" s="1"/>
  <c r="T34" i="16" s="1"/>
  <c r="BP33" i="16"/>
  <c r="BA33" i="16"/>
  <c r="R33" i="16"/>
  <c r="S33" i="16" s="1"/>
  <c r="T33" i="16" s="1"/>
  <c r="BP32" i="16"/>
  <c r="BA32" i="16"/>
  <c r="R32" i="16"/>
  <c r="S32" i="16" s="1"/>
  <c r="T32" i="16" s="1"/>
  <c r="BP31" i="16"/>
  <c r="BA31" i="16"/>
  <c r="R31" i="16"/>
  <c r="S31" i="16" s="1"/>
  <c r="T31" i="16" s="1"/>
  <c r="BP30" i="16"/>
  <c r="BA30" i="16"/>
  <c r="R30" i="16"/>
  <c r="S30" i="16" s="1"/>
  <c r="T30" i="16" s="1"/>
  <c r="BP29" i="16"/>
  <c r="BA29" i="16"/>
  <c r="R29" i="16"/>
  <c r="S29" i="16" s="1"/>
  <c r="T29" i="16" s="1"/>
  <c r="BP28" i="16"/>
  <c r="BA28" i="16"/>
  <c r="R28" i="16"/>
  <c r="S28" i="16" s="1"/>
  <c r="T28" i="16" s="1"/>
  <c r="BP27" i="16"/>
  <c r="BA27" i="16"/>
  <c r="R27" i="16"/>
  <c r="S27" i="16" s="1"/>
  <c r="T27" i="16" s="1"/>
  <c r="BP26" i="16"/>
  <c r="BA26" i="16"/>
  <c r="R26" i="16"/>
  <c r="S26" i="16" s="1"/>
  <c r="T26" i="16" s="1"/>
  <c r="BP25" i="16"/>
  <c r="BA25" i="16"/>
  <c r="R25" i="16"/>
  <c r="S25" i="16" s="1"/>
  <c r="T25" i="16" s="1"/>
  <c r="BP24" i="16"/>
  <c r="BA24" i="16"/>
  <c r="R24" i="16"/>
  <c r="S24" i="16" s="1"/>
  <c r="T24" i="16" s="1"/>
  <c r="BP23" i="16"/>
  <c r="BA23" i="16"/>
  <c r="R23" i="16"/>
  <c r="S23" i="16" s="1"/>
  <c r="T23" i="16" s="1"/>
  <c r="BP22" i="16"/>
  <c r="BA22" i="16"/>
  <c r="R22" i="16"/>
  <c r="S22" i="16" s="1"/>
  <c r="T22" i="16" s="1"/>
  <c r="BP21" i="16"/>
  <c r="BA21" i="16"/>
  <c r="R21" i="16"/>
  <c r="S21" i="16" s="1"/>
  <c r="T21" i="16" s="1"/>
  <c r="BP20" i="16"/>
  <c r="BA20" i="16"/>
  <c r="R20" i="16"/>
  <c r="S20" i="16" s="1"/>
  <c r="T20" i="16" s="1"/>
  <c r="BP19" i="16"/>
  <c r="BA19" i="16"/>
  <c r="R19" i="16"/>
  <c r="S19" i="16" s="1"/>
  <c r="T19" i="16" s="1"/>
  <c r="BP18" i="16"/>
  <c r="BA18" i="16"/>
  <c r="R18" i="16"/>
  <c r="S18" i="16" s="1"/>
  <c r="T18" i="16" s="1"/>
  <c r="BP17" i="16"/>
  <c r="BA17" i="16"/>
  <c r="R17" i="16"/>
  <c r="S17" i="16" s="1"/>
  <c r="T17" i="16" s="1"/>
  <c r="BP16" i="16"/>
  <c r="BA16" i="16"/>
  <c r="R16" i="16"/>
  <c r="S16" i="16" s="1"/>
  <c r="T16" i="16" s="1"/>
  <c r="BP15" i="16"/>
  <c r="BA15" i="16"/>
  <c r="R15" i="16"/>
  <c r="S15" i="16" s="1"/>
  <c r="T15" i="16" s="1"/>
  <c r="BP14" i="16"/>
  <c r="BA14" i="16"/>
  <c r="R14" i="16"/>
  <c r="S14" i="16" s="1"/>
  <c r="T14" i="16" s="1"/>
  <c r="BP13" i="16"/>
  <c r="BA13" i="16"/>
  <c r="R13" i="16"/>
  <c r="S13" i="16" s="1"/>
  <c r="T13" i="16" s="1"/>
  <c r="BP12" i="16"/>
  <c r="BA12" i="16"/>
  <c r="R12" i="16"/>
  <c r="S12" i="16" s="1"/>
  <c r="T12" i="16" s="1"/>
  <c r="BO11" i="16"/>
  <c r="AZ11" i="16"/>
  <c r="AW6" i="16" a="1"/>
  <c r="AW6" i="16" s="1"/>
  <c r="AW5" i="16"/>
  <c r="AW4" i="16"/>
  <c r="AH2" i="16"/>
  <c r="AP2" i="16" s="1"/>
  <c r="AH1" i="16"/>
  <c r="AP1" i="16" s="1"/>
  <c r="BQ15" i="16" l="1"/>
  <c r="BR15" i="16" s="1"/>
  <c r="BQ17" i="16"/>
  <c r="BR17" i="16" s="1"/>
  <c r="BQ28" i="16"/>
  <c r="BR28" i="16" s="1"/>
  <c r="BB23" i="16"/>
  <c r="BC23" i="16" s="1"/>
  <c r="BB21" i="16"/>
  <c r="BC21" i="16" s="1"/>
  <c r="BQ23" i="16"/>
  <c r="BR23" i="16" s="1"/>
  <c r="BB19" i="16"/>
  <c r="BC19" i="16" s="1"/>
  <c r="BQ40" i="16"/>
  <c r="BR40" i="16" s="1"/>
  <c r="BB34" i="16"/>
  <c r="BC34" i="16" s="1"/>
  <c r="BQ36" i="16"/>
  <c r="BR36" i="16" s="1"/>
  <c r="BQ32" i="16"/>
  <c r="BR32" i="16" s="1"/>
  <c r="BB13" i="16"/>
  <c r="BC13" i="16" s="1"/>
  <c r="BB15" i="16"/>
  <c r="BC15" i="16" s="1"/>
  <c r="BB42" i="16"/>
  <c r="BC42" i="16" s="1"/>
  <c r="BQ13" i="16"/>
  <c r="BR13" i="16" s="1"/>
  <c r="BQ44" i="16"/>
  <c r="BR44" i="16" s="1"/>
  <c r="BB16" i="16"/>
  <c r="BC16" i="16" s="1"/>
  <c r="BQ16" i="16"/>
  <c r="BR16" i="16" s="1"/>
  <c r="BB18" i="16"/>
  <c r="BC18" i="16" s="1"/>
  <c r="BB20" i="16"/>
  <c r="BC20" i="16" s="1"/>
  <c r="BB25" i="16"/>
  <c r="BC25" i="16" s="1"/>
  <c r="BB27" i="16"/>
  <c r="BC27" i="16" s="1"/>
  <c r="BB29" i="16"/>
  <c r="BC29" i="16" s="1"/>
  <c r="BB31" i="16"/>
  <c r="BC31" i="16" s="1"/>
  <c r="BQ18" i="16"/>
  <c r="BR18" i="16" s="1"/>
  <c r="BQ22" i="16"/>
  <c r="BR22" i="16" s="1"/>
  <c r="BQ25" i="16"/>
  <c r="BR25" i="16" s="1"/>
  <c r="BQ27" i="16"/>
  <c r="BR27" i="16" s="1"/>
  <c r="BQ29" i="16"/>
  <c r="BR29" i="16" s="1"/>
  <c r="BQ31" i="16"/>
  <c r="BR31" i="16" s="1"/>
  <c r="BB37" i="16"/>
  <c r="BC37" i="16" s="1"/>
  <c r="BB39" i="16"/>
  <c r="BC39" i="16" s="1"/>
  <c r="BB41" i="16"/>
  <c r="BC41" i="16" s="1"/>
  <c r="BB12" i="16"/>
  <c r="BC12" i="16" s="1"/>
  <c r="BB14" i="16"/>
  <c r="BC14" i="16" s="1"/>
  <c r="BQ35" i="16"/>
  <c r="BR35" i="16" s="1"/>
  <c r="BQ37" i="16"/>
  <c r="BR37" i="16" s="1"/>
  <c r="BQ39" i="16"/>
  <c r="BR39" i="16" s="1"/>
  <c r="BQ41" i="16"/>
  <c r="BR41" i="16" s="1"/>
  <c r="BB43" i="16"/>
  <c r="BC43" i="16" s="1"/>
  <c r="BQ43" i="16"/>
  <c r="BR43" i="16" s="1"/>
  <c r="BB22" i="16"/>
  <c r="BC22" i="16" s="1"/>
  <c r="BQ19" i="16"/>
  <c r="BR19" i="16" s="1"/>
  <c r="BB17" i="16"/>
  <c r="BC17" i="16" s="1"/>
  <c r="BQ20" i="16"/>
  <c r="BR20" i="16" s="1"/>
  <c r="BB33" i="16"/>
  <c r="BC33" i="16" s="1"/>
  <c r="BB38" i="16"/>
  <c r="BC38" i="16" s="1"/>
  <c r="BB26" i="16"/>
  <c r="BC26" i="16" s="1"/>
  <c r="BQ33" i="16"/>
  <c r="BR33" i="16" s="1"/>
  <c r="BB24" i="16"/>
  <c r="BC24" i="16" s="1"/>
  <c r="BQ24" i="16"/>
  <c r="BR24" i="16" s="1"/>
  <c r="BB30" i="16"/>
  <c r="BC30" i="16" s="1"/>
  <c r="BB35" i="16"/>
  <c r="BC35" i="16" s="1"/>
  <c r="BQ14" i="16"/>
  <c r="BR14" i="16" s="1"/>
  <c r="BQ21" i="16"/>
  <c r="BR21" i="16" s="1"/>
  <c r="BQ26" i="16"/>
  <c r="BR26" i="16" s="1"/>
  <c r="BQ30" i="16"/>
  <c r="BR30" i="16" s="1"/>
  <c r="BQ34" i="16"/>
  <c r="BR34" i="16" s="1"/>
  <c r="BQ38" i="16"/>
  <c r="BR38" i="16" s="1"/>
  <c r="BQ42" i="16"/>
  <c r="BR42" i="16" s="1"/>
  <c r="BQ12" i="16"/>
  <c r="BR12" i="16" s="1"/>
  <c r="BB28" i="16"/>
  <c r="BC28" i="16" s="1"/>
  <c r="BB32" i="16"/>
  <c r="BC32" i="16" s="1"/>
  <c r="BB36" i="16"/>
  <c r="BC36" i="16" s="1"/>
  <c r="BB40" i="16"/>
  <c r="BC40" i="16" s="1"/>
  <c r="BB44" i="16"/>
  <c r="BC44" i="16" s="1"/>
  <c r="N4" i="14" l="1"/>
  <c r="BZ6" i="1" a="1"/>
  <c r="BZ6" i="1" s="1"/>
  <c r="BT43" i="1"/>
  <c r="R25" i="1"/>
  <c r="BF55" i="14"/>
  <c r="H55" i="14"/>
  <c r="BF54" i="14"/>
  <c r="H54" i="14"/>
  <c r="BF50" i="14"/>
  <c r="H50" i="14"/>
  <c r="BF49" i="14"/>
  <c r="H49" i="14"/>
  <c r="N5" i="14"/>
  <c r="BD5" i="14" s="1"/>
  <c r="BD4" i="14"/>
  <c r="F2" i="14"/>
  <c r="AW2" i="14" s="1"/>
  <c r="AW1" i="14"/>
  <c r="CN49" i="1"/>
  <c r="CN48" i="1"/>
  <c r="BT48" i="1"/>
  <c r="BT44" i="1"/>
  <c r="BH44" i="1"/>
  <c r="CN44" i="1" s="1"/>
  <c r="BH48" i="1"/>
  <c r="BH49" i="1"/>
  <c r="BH43" i="1"/>
  <c r="CN43" i="1" s="1"/>
  <c r="BT49" i="1"/>
  <c r="AM2" i="1"/>
  <c r="BS2" i="1" s="1"/>
  <c r="AM1" i="1"/>
  <c r="BS1" i="1" s="1"/>
  <c r="AT6" i="1"/>
  <c r="AT5" i="1"/>
  <c r="BZ5" i="1" s="1"/>
  <c r="AT4" i="1"/>
  <c r="BZ4" i="1" s="1"/>
  <c r="CS40" i="1"/>
  <c r="CD40" i="1"/>
  <c r="CS39" i="1"/>
  <c r="CD39" i="1"/>
  <c r="CS38" i="1"/>
  <c r="CD38" i="1"/>
  <c r="CS37" i="1"/>
  <c r="CD37" i="1"/>
  <c r="CS36" i="1"/>
  <c r="CD36" i="1"/>
  <c r="CS35" i="1"/>
  <c r="CD35" i="1"/>
  <c r="CS34" i="1"/>
  <c r="CD34" i="1"/>
  <c r="CS33" i="1"/>
  <c r="CD33" i="1"/>
  <c r="CS32" i="1"/>
  <c r="CD32" i="1"/>
  <c r="CS31" i="1"/>
  <c r="CD31" i="1"/>
  <c r="CS30" i="1"/>
  <c r="CD30" i="1"/>
  <c r="CS29" i="1"/>
  <c r="CD29" i="1"/>
  <c r="CS28" i="1"/>
  <c r="CD28" i="1"/>
  <c r="CS27" i="1"/>
  <c r="CD27" i="1"/>
  <c r="CS26" i="1"/>
  <c r="CD26" i="1"/>
  <c r="CS25" i="1"/>
  <c r="CD25" i="1"/>
  <c r="CS24" i="1"/>
  <c r="CD24" i="1"/>
  <c r="CS23" i="1"/>
  <c r="CD23" i="1"/>
  <c r="CS22" i="1"/>
  <c r="CD22" i="1"/>
  <c r="CS21" i="1"/>
  <c r="CD21" i="1"/>
  <c r="CS20" i="1"/>
  <c r="CD20" i="1"/>
  <c r="CS19" i="1"/>
  <c r="CD19" i="1"/>
  <c r="CS18" i="1"/>
  <c r="CD18" i="1"/>
  <c r="CS17" i="1"/>
  <c r="CD17" i="1"/>
  <c r="CS16" i="1"/>
  <c r="CD16" i="1"/>
  <c r="CE16" i="1" s="1"/>
  <c r="CF16" i="1" s="1"/>
  <c r="CS15" i="1"/>
  <c r="CT15" i="1" s="1"/>
  <c r="CU15" i="1" s="1"/>
  <c r="CD15" i="1"/>
  <c r="CS14" i="1"/>
  <c r="CD14" i="1"/>
  <c r="CS13" i="1"/>
  <c r="CD13" i="1"/>
  <c r="CS12" i="1"/>
  <c r="CD12" i="1"/>
  <c r="CR11" i="1"/>
  <c r="CT38" i="1" s="1"/>
  <c r="CU38" i="1" s="1"/>
  <c r="CC11" i="1"/>
  <c r="BM40" i="1"/>
  <c r="AX40" i="1"/>
  <c r="BM39" i="1"/>
  <c r="BN39" i="1" s="1"/>
  <c r="BO39" i="1" s="1"/>
  <c r="AX39" i="1"/>
  <c r="AY39" i="1" s="1"/>
  <c r="AZ39" i="1" s="1"/>
  <c r="BM38" i="1"/>
  <c r="BN38" i="1" s="1"/>
  <c r="BO38" i="1" s="1"/>
  <c r="AX38" i="1"/>
  <c r="BM37" i="1"/>
  <c r="BN37" i="1" s="1"/>
  <c r="BO37" i="1" s="1"/>
  <c r="AX37" i="1"/>
  <c r="BM36" i="1"/>
  <c r="BN36" i="1" s="1"/>
  <c r="BO36" i="1" s="1"/>
  <c r="AX36" i="1"/>
  <c r="BM35" i="1"/>
  <c r="AX35" i="1"/>
  <c r="AY35" i="1" s="1"/>
  <c r="AZ35" i="1" s="1"/>
  <c r="BM34" i="1"/>
  <c r="AX34" i="1"/>
  <c r="BM33" i="1"/>
  <c r="BN33" i="1" s="1"/>
  <c r="BO33" i="1" s="1"/>
  <c r="AX33" i="1"/>
  <c r="BM32" i="1"/>
  <c r="BN32" i="1" s="1"/>
  <c r="BO32" i="1" s="1"/>
  <c r="AX32" i="1"/>
  <c r="BM31" i="1"/>
  <c r="BN31" i="1" s="1"/>
  <c r="BO31" i="1" s="1"/>
  <c r="AX31" i="1"/>
  <c r="AY31" i="1" s="1"/>
  <c r="AZ31" i="1" s="1"/>
  <c r="BM30" i="1"/>
  <c r="BN30" i="1" s="1"/>
  <c r="BO30" i="1" s="1"/>
  <c r="AX30" i="1"/>
  <c r="BM29" i="1"/>
  <c r="BN29" i="1" s="1"/>
  <c r="BO29" i="1" s="1"/>
  <c r="AX29" i="1"/>
  <c r="BM28" i="1"/>
  <c r="BN28" i="1" s="1"/>
  <c r="BO28" i="1" s="1"/>
  <c r="AX28" i="1"/>
  <c r="BM27" i="1"/>
  <c r="BN27" i="1" s="1"/>
  <c r="BO27" i="1" s="1"/>
  <c r="AX27" i="1"/>
  <c r="AY27" i="1" s="1"/>
  <c r="AZ27" i="1" s="1"/>
  <c r="BM26" i="1"/>
  <c r="BN26" i="1" s="1"/>
  <c r="BO26" i="1" s="1"/>
  <c r="AX26" i="1"/>
  <c r="BM25" i="1"/>
  <c r="BN25" i="1" s="1"/>
  <c r="BO25" i="1" s="1"/>
  <c r="AX25" i="1"/>
  <c r="BM24" i="1"/>
  <c r="BN24" i="1" s="1"/>
  <c r="BO24" i="1" s="1"/>
  <c r="AX24" i="1"/>
  <c r="BM23" i="1"/>
  <c r="BN23" i="1" s="1"/>
  <c r="BO23" i="1" s="1"/>
  <c r="AX23" i="1"/>
  <c r="AY23" i="1" s="1"/>
  <c r="AZ23" i="1" s="1"/>
  <c r="BM22" i="1"/>
  <c r="BN22" i="1" s="1"/>
  <c r="BO22" i="1" s="1"/>
  <c r="AX22" i="1"/>
  <c r="BM21" i="1"/>
  <c r="AX21" i="1"/>
  <c r="AY21" i="1" s="1"/>
  <c r="BM20" i="1"/>
  <c r="BN20" i="1" s="1"/>
  <c r="BO20" i="1" s="1"/>
  <c r="AX20" i="1"/>
  <c r="AY20" i="1" s="1"/>
  <c r="BM19" i="1"/>
  <c r="BN19" i="1" s="1"/>
  <c r="BO19" i="1" s="1"/>
  <c r="AX19" i="1"/>
  <c r="BM18" i="1"/>
  <c r="BN18" i="1" s="1"/>
  <c r="BO18" i="1" s="1"/>
  <c r="AX18" i="1"/>
  <c r="BM17" i="1"/>
  <c r="BN17" i="1" s="1"/>
  <c r="BO17" i="1" s="1"/>
  <c r="AX17" i="1"/>
  <c r="BM16" i="1"/>
  <c r="AX16" i="1"/>
  <c r="BM15" i="1"/>
  <c r="BN15" i="1" s="1"/>
  <c r="BO15" i="1" s="1"/>
  <c r="AX15" i="1"/>
  <c r="AY15" i="1" s="1"/>
  <c r="AZ15" i="1" s="1"/>
  <c r="BM14" i="1"/>
  <c r="BN14" i="1" s="1"/>
  <c r="BO14" i="1" s="1"/>
  <c r="AX14" i="1"/>
  <c r="BM13" i="1"/>
  <c r="BN13" i="1" s="1"/>
  <c r="BO13" i="1" s="1"/>
  <c r="AX13" i="1"/>
  <c r="BM12" i="1"/>
  <c r="AX12" i="1"/>
  <c r="BL11" i="1"/>
  <c r="AG40" i="1"/>
  <c r="AG39" i="1"/>
  <c r="AG38" i="1"/>
  <c r="AG37" i="1"/>
  <c r="AH37" i="1" s="1"/>
  <c r="AG36" i="1"/>
  <c r="AG35" i="1"/>
  <c r="AG34" i="1"/>
  <c r="AG33" i="1"/>
  <c r="AH33" i="1" s="1"/>
  <c r="AI33" i="1" s="1"/>
  <c r="AG32" i="1"/>
  <c r="AG31" i="1"/>
  <c r="AG30" i="1"/>
  <c r="AG29" i="1"/>
  <c r="AH29" i="1" s="1"/>
  <c r="AI29" i="1" s="1"/>
  <c r="AG28" i="1"/>
  <c r="AG27" i="1"/>
  <c r="AG26" i="1"/>
  <c r="AG25" i="1"/>
  <c r="AH25" i="1" s="1"/>
  <c r="AG24" i="1"/>
  <c r="AG23" i="1"/>
  <c r="AG22" i="1"/>
  <c r="AG21" i="1"/>
  <c r="AH21" i="1" s="1"/>
  <c r="AG20" i="1"/>
  <c r="AG19" i="1"/>
  <c r="AG18" i="1"/>
  <c r="AG17" i="1"/>
  <c r="AH17" i="1" s="1"/>
  <c r="AG16" i="1"/>
  <c r="AG15" i="1"/>
  <c r="AG14" i="1"/>
  <c r="AG13" i="1"/>
  <c r="AH13" i="1" s="1"/>
  <c r="AG12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BN34" i="1" l="1"/>
  <c r="BO34" i="1" s="1"/>
  <c r="CT21" i="1"/>
  <c r="CU21" i="1" s="1"/>
  <c r="CT27" i="1"/>
  <c r="CU27" i="1" s="1"/>
  <c r="CT33" i="1"/>
  <c r="CU33" i="1" s="1"/>
  <c r="CT39" i="1"/>
  <c r="CU39" i="1" s="1"/>
  <c r="CT35" i="1"/>
  <c r="CU35" i="1" s="1"/>
  <c r="CT25" i="1"/>
  <c r="CU25" i="1" s="1"/>
  <c r="BN12" i="1"/>
  <c r="BO12" i="1" s="1"/>
  <c r="BN35" i="1"/>
  <c r="BO35" i="1" s="1"/>
  <c r="CE26" i="1"/>
  <c r="CF26" i="1" s="1"/>
  <c r="CT16" i="1"/>
  <c r="CU16" i="1" s="1"/>
  <c r="BJ40" i="14"/>
  <c r="BJ41" i="14"/>
  <c r="BJ45" i="14"/>
  <c r="BJ28" i="14"/>
  <c r="BJ17" i="14"/>
  <c r="BJ29" i="14"/>
  <c r="BJ19" i="14"/>
  <c r="BJ31" i="14"/>
  <c r="BJ20" i="14"/>
  <c r="BJ32" i="14"/>
  <c r="BJ44" i="14"/>
  <c r="BJ33" i="14"/>
  <c r="BJ21" i="14"/>
  <c r="BJ43" i="14"/>
  <c r="BJ46" i="14"/>
  <c r="BJ23" i="14"/>
  <c r="BJ35" i="14"/>
  <c r="BI12" i="14"/>
  <c r="BJ12" i="14" s="1"/>
  <c r="BJ24" i="14"/>
  <c r="BJ36" i="14"/>
  <c r="BJ13" i="14"/>
  <c r="BJ25" i="14"/>
  <c r="BJ37" i="14"/>
  <c r="BJ15" i="14"/>
  <c r="BJ27" i="14"/>
  <c r="BJ39" i="14"/>
  <c r="CT17" i="1"/>
  <c r="CU17" i="1" s="1"/>
  <c r="CT23" i="1"/>
  <c r="CU23" i="1" s="1"/>
  <c r="CT34" i="1"/>
  <c r="CU34" i="1" s="1"/>
  <c r="CE35" i="1"/>
  <c r="CF35" i="1" s="1"/>
  <c r="CE40" i="1"/>
  <c r="CF40" i="1" s="1"/>
  <c r="CT29" i="1"/>
  <c r="CU29" i="1" s="1"/>
  <c r="CT40" i="1"/>
  <c r="CU40" i="1" s="1"/>
  <c r="CT13" i="1"/>
  <c r="CU13" i="1" s="1"/>
  <c r="CE25" i="1"/>
  <c r="CF25" i="1" s="1"/>
  <c r="CE30" i="1"/>
  <c r="CF30" i="1" s="1"/>
  <c r="CE12" i="1"/>
  <c r="CF12" i="1" s="1"/>
  <c r="CT19" i="1"/>
  <c r="CU19" i="1" s="1"/>
  <c r="CE20" i="1"/>
  <c r="CF20" i="1" s="1"/>
  <c r="CE31" i="1"/>
  <c r="CF31" i="1" s="1"/>
  <c r="BN16" i="1"/>
  <c r="BO16" i="1" s="1"/>
  <c r="BN21" i="1"/>
  <c r="BO21" i="1" s="1"/>
  <c r="BN40" i="1"/>
  <c r="BO40" i="1" s="1"/>
  <c r="CT20" i="1"/>
  <c r="CU20" i="1" s="1"/>
  <c r="CT31" i="1"/>
  <c r="CU31" i="1" s="1"/>
  <c r="CE21" i="1"/>
  <c r="CF21" i="1" s="1"/>
  <c r="CT37" i="1"/>
  <c r="CU37" i="1" s="1"/>
  <c r="CE17" i="1"/>
  <c r="CF17" i="1" s="1"/>
  <c r="CT26" i="1"/>
  <c r="CU26" i="1" s="1"/>
  <c r="CE36" i="1"/>
  <c r="CF36" i="1" s="1"/>
  <c r="CT12" i="1"/>
  <c r="CU12" i="1" s="1"/>
  <c r="CE27" i="1"/>
  <c r="CF27" i="1" s="1"/>
  <c r="CT36" i="1"/>
  <c r="CU36" i="1" s="1"/>
  <c r="CE13" i="1"/>
  <c r="CF13" i="1" s="1"/>
  <c r="CT22" i="1"/>
  <c r="CU22" i="1" s="1"/>
  <c r="CE32" i="1"/>
  <c r="CF32" i="1" s="1"/>
  <c r="CE37" i="1"/>
  <c r="CF37" i="1" s="1"/>
  <c r="CE18" i="1"/>
  <c r="CF18" i="1" s="1"/>
  <c r="CE23" i="1"/>
  <c r="CF23" i="1" s="1"/>
  <c r="CT32" i="1"/>
  <c r="CU32" i="1" s="1"/>
  <c r="CT18" i="1"/>
  <c r="CU18" i="1" s="1"/>
  <c r="CE28" i="1"/>
  <c r="CF28" i="1" s="1"/>
  <c r="CE33" i="1"/>
  <c r="CF33" i="1" s="1"/>
  <c r="CE19" i="1"/>
  <c r="CF19" i="1" s="1"/>
  <c r="CT28" i="1"/>
  <c r="CU28" i="1" s="1"/>
  <c r="CE38" i="1"/>
  <c r="CF38" i="1" s="1"/>
  <c r="CE24" i="1"/>
  <c r="CF24" i="1" s="1"/>
  <c r="CE29" i="1"/>
  <c r="CF29" i="1" s="1"/>
  <c r="CE15" i="1"/>
  <c r="CF15" i="1" s="1"/>
  <c r="CT24" i="1"/>
  <c r="CU24" i="1" s="1"/>
  <c r="CE34" i="1"/>
  <c r="CF34" i="1" s="1"/>
  <c r="CE39" i="1"/>
  <c r="CF39" i="1" s="1"/>
  <c r="AY19" i="1"/>
  <c r="AZ19" i="1" s="1"/>
  <c r="AY16" i="1"/>
  <c r="AZ16" i="1" s="1"/>
  <c r="AY24" i="1"/>
  <c r="AZ24" i="1" s="1"/>
  <c r="AY32" i="1"/>
  <c r="AZ32" i="1" s="1"/>
  <c r="AY13" i="1"/>
  <c r="AZ13" i="1" s="1"/>
  <c r="AZ21" i="1"/>
  <c r="AY29" i="1"/>
  <c r="AZ29" i="1" s="1"/>
  <c r="AY37" i="1"/>
  <c r="AZ37" i="1" s="1"/>
  <c r="AY14" i="1"/>
  <c r="AZ14" i="1" s="1"/>
  <c r="AY18" i="1"/>
  <c r="AZ18" i="1" s="1"/>
  <c r="AY22" i="1"/>
  <c r="AZ22" i="1" s="1"/>
  <c r="AY26" i="1"/>
  <c r="AZ26" i="1" s="1"/>
  <c r="AY30" i="1"/>
  <c r="AZ30" i="1" s="1"/>
  <c r="AY34" i="1"/>
  <c r="AZ34" i="1" s="1"/>
  <c r="AY38" i="1"/>
  <c r="AZ38" i="1" s="1"/>
  <c r="AY12" i="1"/>
  <c r="AZ12" i="1" s="1"/>
  <c r="AZ20" i="1"/>
  <c r="AY28" i="1"/>
  <c r="AZ28" i="1" s="1"/>
  <c r="AY36" i="1"/>
  <c r="AZ36" i="1" s="1"/>
  <c r="AY40" i="1"/>
  <c r="AZ40" i="1" s="1"/>
  <c r="AY17" i="1"/>
  <c r="AZ17" i="1" s="1"/>
  <c r="AY25" i="1"/>
  <c r="AZ25" i="1" s="1"/>
  <c r="AY33" i="1"/>
  <c r="AZ33" i="1" s="1"/>
  <c r="BJ16" i="14"/>
  <c r="BJ14" i="14"/>
  <c r="BJ22" i="14"/>
  <c r="BJ38" i="14"/>
  <c r="BJ18" i="14"/>
  <c r="BJ26" i="14"/>
  <c r="BJ30" i="14"/>
  <c r="BJ34" i="14"/>
  <c r="BJ42" i="14"/>
  <c r="AH15" i="1"/>
  <c r="AI15" i="1" s="1"/>
  <c r="AH19" i="1"/>
  <c r="AI19" i="1" s="1"/>
  <c r="AH23" i="1"/>
  <c r="AI23" i="1" s="1"/>
  <c r="AH27" i="1"/>
  <c r="AI27" i="1" s="1"/>
  <c r="AH31" i="1"/>
  <c r="AI31" i="1" s="1"/>
  <c r="AH35" i="1"/>
  <c r="AI35" i="1" s="1"/>
  <c r="AH39" i="1"/>
  <c r="AI39" i="1" s="1"/>
  <c r="AH12" i="1"/>
  <c r="AI12" i="1" s="1"/>
  <c r="AH16" i="1"/>
  <c r="AI16" i="1" s="1"/>
  <c r="AH20" i="1"/>
  <c r="AI20" i="1" s="1"/>
  <c r="AH24" i="1"/>
  <c r="AI24" i="1" s="1"/>
  <c r="AH28" i="1"/>
  <c r="AI28" i="1" s="1"/>
  <c r="AH32" i="1"/>
  <c r="AI32" i="1" s="1"/>
  <c r="AH36" i="1"/>
  <c r="AI36" i="1" s="1"/>
  <c r="AH40" i="1"/>
  <c r="AI40" i="1" s="1"/>
  <c r="AH14" i="1"/>
  <c r="AI14" i="1" s="1"/>
  <c r="AH18" i="1"/>
  <c r="AI18" i="1" s="1"/>
  <c r="AH22" i="1"/>
  <c r="AI22" i="1" s="1"/>
  <c r="AH26" i="1"/>
  <c r="AI26" i="1" s="1"/>
  <c r="AH30" i="1"/>
  <c r="AI30" i="1" s="1"/>
  <c r="AH34" i="1"/>
  <c r="AI34" i="1" s="1"/>
  <c r="AH38" i="1"/>
  <c r="AI38" i="1" s="1"/>
  <c r="CT14" i="1"/>
  <c r="CU14" i="1" s="1"/>
  <c r="CT30" i="1"/>
  <c r="CU30" i="1" s="1"/>
  <c r="CE14" i="1"/>
  <c r="CF14" i="1" s="1"/>
  <c r="CE22" i="1"/>
  <c r="CF22" i="1" s="1"/>
  <c r="AI21" i="1"/>
  <c r="AI37" i="1"/>
  <c r="AI25" i="1"/>
  <c r="AI13" i="1"/>
  <c r="AI17" i="1"/>
  <c r="S33" i="1"/>
  <c r="T33" i="1" s="1"/>
  <c r="S32" i="1"/>
  <c r="T32" i="1" s="1"/>
  <c r="S15" i="1"/>
  <c r="T15" i="1" s="1"/>
  <c r="S19" i="1"/>
  <c r="T19" i="1" s="1"/>
  <c r="S17" i="1"/>
  <c r="T17" i="1" s="1"/>
  <c r="S30" i="1"/>
  <c r="T30" i="1" s="1"/>
  <c r="S31" i="1"/>
  <c r="T3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12" i="1"/>
  <c r="T12" i="1" s="1"/>
  <c r="S13" i="1"/>
  <c r="T13" i="1" s="1"/>
  <c r="S14" i="1"/>
  <c r="T14" i="1" s="1"/>
  <c r="S16" i="1"/>
  <c r="T16" i="1" s="1"/>
  <c r="S18" i="1"/>
  <c r="T18" i="1" s="1"/>
  <c r="S20" i="1"/>
  <c r="T20" i="1" s="1"/>
  <c r="S28" i="1"/>
  <c r="T28" i="1" s="1"/>
  <c r="S29" i="1"/>
  <c r="T29" i="1" s="1"/>
  <c r="S26" i="1"/>
  <c r="T26" i="1" s="1"/>
  <c r="S27" i="1"/>
  <c r="T27" i="1" s="1"/>
  <c r="S21" i="1"/>
  <c r="T21" i="1" s="1"/>
  <c r="S22" i="1"/>
  <c r="T22" i="1" s="1"/>
  <c r="S23" i="1"/>
  <c r="T23" i="1" s="1"/>
  <c r="S24" i="1"/>
  <c r="T24" i="1" s="1"/>
  <c r="S25" i="1"/>
  <c r="T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<sst xmlns="http://schemas.openxmlformats.org/spreadsheetml/2006/main" count="1223" uniqueCount="290">
  <si>
    <t>Kelas / Semester</t>
  </si>
  <si>
    <t>NO</t>
  </si>
  <si>
    <t>NAMA SISWA</t>
  </si>
  <si>
    <t>Nilai Akhir</t>
  </si>
  <si>
    <t>IPA</t>
  </si>
  <si>
    <t>:</t>
  </si>
  <si>
    <t>IPS</t>
  </si>
  <si>
    <t>3.3</t>
  </si>
  <si>
    <t>3.6</t>
  </si>
  <si>
    <t>3.2</t>
  </si>
  <si>
    <t>3.1</t>
  </si>
  <si>
    <t>Mengetahui</t>
  </si>
  <si>
    <t>Kepala SDN 5 Mekarsari</t>
  </si>
  <si>
    <t>ADIN, S.Pd.</t>
  </si>
  <si>
    <t>DEDE JUNTIAH, S.Pd.SD.</t>
  </si>
  <si>
    <t>NIP. 19700406 199307 2 001</t>
  </si>
  <si>
    <t>Tema</t>
  </si>
  <si>
    <t>3.4</t>
  </si>
  <si>
    <t>PROGRAM PERBAIKAN DAN PENGAYAAN</t>
  </si>
  <si>
    <t>TAHUN PELAJARAN 2018 /2019</t>
  </si>
  <si>
    <t>Mata Pelajaran</t>
  </si>
  <si>
    <t>Materi Perbaikan</t>
  </si>
  <si>
    <t>Jumlah Siswa</t>
  </si>
  <si>
    <t>Perbaikan</t>
  </si>
  <si>
    <t>Pengayaan</t>
  </si>
  <si>
    <t>Hari/Tanggal Pelaksanaan</t>
  </si>
  <si>
    <t>Hasil/Nilai</t>
  </si>
  <si>
    <t>Ket</t>
  </si>
  <si>
    <t>: IV / 1</t>
  </si>
  <si>
    <t>: Indahnya Kebersamaan</t>
  </si>
  <si>
    <t>PPKn</t>
  </si>
  <si>
    <t>9 Orang</t>
  </si>
  <si>
    <t>24 Orang</t>
  </si>
  <si>
    <t>Rabu            08-8-2018</t>
  </si>
  <si>
    <t>Tuntas 100 %</t>
  </si>
  <si>
    <t>Bhs.Indonesia</t>
  </si>
  <si>
    <t>SBdP</t>
  </si>
  <si>
    <t xml:space="preserve">Mengidentifikasi berbagai bentuk keberagaman suku bangsa, sosial, dan budaya di Indonesia yang terikat persatuan dan kesatuan </t>
  </si>
  <si>
    <t xml:space="preserve">Mencermati gagasan pokok dan gagasan pendukung yang diperoleh dari teks lisan, tulis, atau visual </t>
  </si>
  <si>
    <t xml:space="preserve">Menerapkan sifat-sifat bunyi dan keterkaitannya dengan indera pendengaran </t>
  </si>
  <si>
    <t xml:space="preserve">Mengidentifikasi keragaman sosial, ekonomi, budaya, etnis, dan agama di provinsi setempat sebagai identitas bangsa Indonesia; serta hubungannya dengan karakteristik ruang. </t>
  </si>
  <si>
    <t xml:space="preserve">Mengetahui gerak tari kreasi daerah </t>
  </si>
  <si>
    <t>4 Orang</t>
  </si>
  <si>
    <t>7 Orang</t>
  </si>
  <si>
    <t>5 Orang</t>
  </si>
  <si>
    <t>15 Orang</t>
  </si>
  <si>
    <t>29 Orang</t>
  </si>
  <si>
    <t>26 Orang</t>
  </si>
  <si>
    <t>28 Orang</t>
  </si>
  <si>
    <t>18 Orang</t>
  </si>
  <si>
    <t>Banjar, 08 Agustus 2018</t>
  </si>
  <si>
    <t>Guru Kelas IV A</t>
  </si>
  <si>
    <t>NIP&gt; 19650302 198803 1 013</t>
  </si>
  <si>
    <t>3.5</t>
  </si>
  <si>
    <t>: Selalu Berhemat Energi</t>
  </si>
  <si>
    <t xml:space="preserve">Mengidentifikasi pelaksanaan kewajiban dan hak sebagai warga masyarakat dalam kehidupan sehari-hari </t>
  </si>
  <si>
    <t xml:space="preserve">Mencermati keterhubungan antargagasan yang didapat dari teks lisan, tulis, atau visual </t>
  </si>
  <si>
    <t xml:space="preserve">Mengidentifikasi berbagai sumber energi, perubahan bentuk energi, dan sumber energi alternatif (angin, air, matahari, panas bumi, bahan bakar organik, dan nuklir) dalam kehidupan sehari-hari </t>
  </si>
  <si>
    <t xml:space="preserve">Mengidentifikasi karakteristik ruang dan pemanfaatan sumber daya alam untuk kesejahteraan masyarakat dari tingkat kota/kabupaten sampai tingkat provinsi. </t>
  </si>
  <si>
    <t xml:space="preserve">Mengetahui tanda tempo dan tinggi rendah nada </t>
  </si>
  <si>
    <t>8 Orang</t>
  </si>
  <si>
    <t>25 Orang</t>
  </si>
  <si>
    <t>10 Orang</t>
  </si>
  <si>
    <t>13 Orang</t>
  </si>
  <si>
    <t>Selasa            04-9-2018</t>
  </si>
  <si>
    <t>Materi Pengayaan</t>
  </si>
  <si>
    <t>Banjar, 04 September 2018</t>
  </si>
  <si>
    <t xml:space="preserve">: </t>
  </si>
  <si>
    <t>NIS</t>
  </si>
  <si>
    <t>Skor Maksimal</t>
  </si>
  <si>
    <t>Tindak Lanjut</t>
  </si>
  <si>
    <t xml:space="preserve">Skor </t>
  </si>
  <si>
    <t>DUDUNG, S.Pd.SD</t>
  </si>
  <si>
    <t>NIP. 197111101993071001</t>
  </si>
  <si>
    <t>I / 1</t>
  </si>
  <si>
    <t>Kode TP ….........</t>
  </si>
  <si>
    <t>Lingkup Materi</t>
  </si>
  <si>
    <t>Nilai Minimal</t>
  </si>
  <si>
    <t>Skor Maksimal Tiap Soal</t>
  </si>
  <si>
    <t>Guru</t>
  </si>
  <si>
    <t>Nomor Soal</t>
  </si>
  <si>
    <t>ARGA SEFERAGIC</t>
  </si>
  <si>
    <t>ARKHA ARDANA PUTRA</t>
  </si>
  <si>
    <t>Bella Sopyana Putri</t>
  </si>
  <si>
    <t>DAVA ABYAN SOFA</t>
  </si>
  <si>
    <t>ELVIRA ZAHRA KHAERUNNISA</t>
  </si>
  <si>
    <t>GALUH UWAIS AL QARNI</t>
  </si>
  <si>
    <t>HAMZIDAN PRANADJA</t>
  </si>
  <si>
    <t>HANDI PADILAH</t>
  </si>
  <si>
    <t>IBNU FAUZAN</t>
  </si>
  <si>
    <t>INTAN NADIN HANIFAH</t>
  </si>
  <si>
    <t>KAHFI</t>
  </si>
  <si>
    <t>KAMILA AZZAHRA OKTAVIANY</t>
  </si>
  <si>
    <t>KAYSAN RAJENDRA</t>
  </si>
  <si>
    <t>MEITA PRABA NURRIZKI</t>
  </si>
  <si>
    <t>MILKA NURUL FADHILAH</t>
  </si>
  <si>
    <t>MIRA SINTIAWATI</t>
  </si>
  <si>
    <t>MUHAMMAD HADIQ AL FARUQ</t>
  </si>
  <si>
    <t>MUTIA ALIFA AZZAHRA</t>
  </si>
  <si>
    <t>MUTIA PUTRI NURAZIZAH</t>
  </si>
  <si>
    <t>NABIL KAFIN ABIZARD</t>
  </si>
  <si>
    <t>Nursilmi Fauziyah</t>
  </si>
  <si>
    <t>RAHMA AZAHRA</t>
  </si>
  <si>
    <t>RIFKY NAUFAL RAMDHANI</t>
  </si>
  <si>
    <t>RIFKY NIZAM RAMADANSYAH</t>
  </si>
  <si>
    <t>SHELA AULIA SUJANA</t>
  </si>
  <si>
    <t>SIVA SURYANI</t>
  </si>
  <si>
    <t>TEDI I AZRY KURNIA</t>
  </si>
  <si>
    <t>TRISTAN SAKHA PERMANA</t>
  </si>
  <si>
    <t>ZIHAN SRI RIZKI</t>
  </si>
  <si>
    <t>Kode TP 1</t>
  </si>
  <si>
    <t>Kode TP 2</t>
  </si>
  <si>
    <t>Kode TP 3</t>
  </si>
  <si>
    <t>Senang membaca al-qur'an</t>
  </si>
  <si>
    <t>BAYU MAULANA.</t>
  </si>
  <si>
    <t>CAKRAWIGUNA.</t>
  </si>
  <si>
    <t>EVRINA MAYSHA.</t>
  </si>
  <si>
    <t>SAMSUL HADI NURU.</t>
  </si>
  <si>
    <t>SIFA FEBRIANA ZAHIRA.</t>
  </si>
  <si>
    <t>ZAIN ROMANSYAH.</t>
  </si>
  <si>
    <t>3163415080 / 232401001</t>
  </si>
  <si>
    <t>3161997134 / 232401002</t>
  </si>
  <si>
    <t>3164040852 / 232401003</t>
  </si>
  <si>
    <t>0164553047 / 232401004</t>
  </si>
  <si>
    <t>3171073614 / 232401005</t>
  </si>
  <si>
    <t>3168177700 / 232401006</t>
  </si>
  <si>
    <t>3163539725 / 232401007</t>
  </si>
  <si>
    <t>0179214781 / 232401008</t>
  </si>
  <si>
    <t>3172453746 / 232401009</t>
  </si>
  <si>
    <t>3152261267 / 232401010</t>
  </si>
  <si>
    <t>3160050189 / 232401011</t>
  </si>
  <si>
    <t>3161520488 / 232401012</t>
  </si>
  <si>
    <t>3173125719 / 232401013</t>
  </si>
  <si>
    <t>3168397502 / 232401014</t>
  </si>
  <si>
    <t>3164700637 / 232401015</t>
  </si>
  <si>
    <t>3168012888 / 232401016</t>
  </si>
  <si>
    <t>3173642710 / 232401017</t>
  </si>
  <si>
    <t>3174719695 / 232401018</t>
  </si>
  <si>
    <t>3170243842 / 232401019</t>
  </si>
  <si>
    <t>3160808194 / 232401020</t>
  </si>
  <si>
    <t>3162061937 / 232401021</t>
  </si>
  <si>
    <t>3173955890 / 232401022</t>
  </si>
  <si>
    <t>3164171038 / 232401023</t>
  </si>
  <si>
    <t>3168619383 / 232401024</t>
  </si>
  <si>
    <t>3177975994 / 232401025</t>
  </si>
  <si>
    <t>3166760674 / 232401026</t>
  </si>
  <si>
    <t>3170616522 / 232401027</t>
  </si>
  <si>
    <t>3165120944 / 232401028</t>
  </si>
  <si>
    <t>3166662295 / 232401029</t>
  </si>
  <si>
    <t>3171885467 / 232401030</t>
  </si>
  <si>
    <t>3160399284 / 232401042</t>
  </si>
  <si>
    <t>3163684371 / 232401031</t>
  </si>
  <si>
    <t>3165625220 / 232401032</t>
  </si>
  <si>
    <t>3169637412 / 232401033</t>
  </si>
  <si>
    <t>3164974029 / 232401034</t>
  </si>
  <si>
    <t>Banjar,     Januari 2024</t>
  </si>
  <si>
    <t>Kepala UPTD SDN 1 Sukamukti</t>
  </si>
  <si>
    <t>ANISA NURBASARI, S.Pd.I</t>
  </si>
  <si>
    <t>NIP. 198702092019032004</t>
  </si>
  <si>
    <t>PAI dan Budi Pekerti</t>
  </si>
  <si>
    <t>Sumatif TP 1</t>
  </si>
  <si>
    <t xml:space="preserve"> Senang membaca al-qur'an</t>
  </si>
  <si>
    <t>I/2</t>
  </si>
  <si>
    <t>Skor Maks Tiap Soal</t>
  </si>
  <si>
    <t>Banjar,     ….............. 2024</t>
  </si>
  <si>
    <t>NISN</t>
  </si>
  <si>
    <t>NISN/NIS</t>
  </si>
  <si>
    <t>PROGRAM REMEDIAL DAN PENGAYAAN</t>
  </si>
  <si>
    <t>Nilai Sebelum Pengayaan</t>
  </si>
  <si>
    <t>Nilai Sesudah Pengayaan</t>
  </si>
  <si>
    <t>Keterangan</t>
  </si>
  <si>
    <t>Tuntas</t>
  </si>
  <si>
    <t>Jenis Program</t>
  </si>
  <si>
    <t>: PAI dan Budi Pekerti</t>
  </si>
  <si>
    <t>Banjar,  Maret 2024</t>
  </si>
  <si>
    <t>AFIFAH NAYLATUL GAFFAR</t>
  </si>
  <si>
    <t>AISHA ALIFA RUSTIANA</t>
  </si>
  <si>
    <t>ALBIANSYAH SANDY SANJAYA</t>
  </si>
  <si>
    <t>ARSYILA ANINDYA PUTRI</t>
  </si>
  <si>
    <t>ARYA YUDHA SENA</t>
  </si>
  <si>
    <t>AZKADINA IZZATUNNISA</t>
  </si>
  <si>
    <t>CYNTA NURMAYANTI</t>
  </si>
  <si>
    <t>DARIS SAIFUL ANWAR</t>
  </si>
  <si>
    <t>DIAN NUR DWI ARYANI</t>
  </si>
  <si>
    <t>DIVA ANGGRAENI</t>
  </si>
  <si>
    <t>FITRI</t>
  </si>
  <si>
    <t>GEYSA AZKAYRA</t>
  </si>
  <si>
    <t>GIBRAN ALFARIZI GUNAWAN</t>
  </si>
  <si>
    <t>HAIRUL ADITYA</t>
  </si>
  <si>
    <t>Haura Khanza Adzkia</t>
  </si>
  <si>
    <t>IRFAN SEPTIAN</t>
  </si>
  <si>
    <t>KEYSHA SAHARA</t>
  </si>
  <si>
    <t>KHOIRUNNISA INDRIYANI</t>
  </si>
  <si>
    <t>MUHAMMAD AZZAM KHALIF PUTRA</t>
  </si>
  <si>
    <t>MUHAMMAD GILBRAN KHALLIL AL MADKATHNI</t>
  </si>
  <si>
    <t>POOJA HANUM ARSYILLA</t>
  </si>
  <si>
    <t>RAFZI ELSANJANI RIFARDHAN</t>
  </si>
  <si>
    <t>RISTA ANJANI</t>
  </si>
  <si>
    <t>RISTI ANJANI</t>
  </si>
  <si>
    <t>ROVI QUROTAL WARDAH</t>
  </si>
  <si>
    <t>SHAFA PUTRI MELANI ALFIANA</t>
  </si>
  <si>
    <t>YASMIN JULIA LARASATI</t>
  </si>
  <si>
    <t>YASMIN NUR RAISHA</t>
  </si>
  <si>
    <t>ZIAN AL MALIK IBRAHIM</t>
  </si>
  <si>
    <t>3181038146 / 242501001</t>
  </si>
  <si>
    <t>3176185752 / 242501002</t>
  </si>
  <si>
    <t>3184313046 / 242501003</t>
  </si>
  <si>
    <t>3176770481 / 242501004</t>
  </si>
  <si>
    <t>3179484635 / 242501005</t>
  </si>
  <si>
    <t>3175779890 / 242501006</t>
  </si>
  <si>
    <t>3181024308 / 242501007</t>
  </si>
  <si>
    <t>3182419437 / 242501008</t>
  </si>
  <si>
    <t>3187448649 / 242501009</t>
  </si>
  <si>
    <t>3185604884 / 242501010</t>
  </si>
  <si>
    <t>3173968868 / 242501012</t>
  </si>
  <si>
    <t>3183401776 / 242501013</t>
  </si>
  <si>
    <t>3186540811 / 242501014</t>
  </si>
  <si>
    <t>3171217395 / 242501015</t>
  </si>
  <si>
    <t>0176589189 / 242501016</t>
  </si>
  <si>
    <t>3175188280 / 242501017</t>
  </si>
  <si>
    <t>3172510046 / 242501018</t>
  </si>
  <si>
    <t>3177571014 / 242501019</t>
  </si>
  <si>
    <t>3175474868 / 242501020</t>
  </si>
  <si>
    <t>3180645005 / 242501021</t>
  </si>
  <si>
    <t>3175500014 / 242501022</t>
  </si>
  <si>
    <t>3182684256 / 242501023</t>
  </si>
  <si>
    <t>3214001374 / 242501024</t>
  </si>
  <si>
    <t>3175740206 / 242501025</t>
  </si>
  <si>
    <t>3179421137 / 242501026</t>
  </si>
  <si>
    <t>3170688016 / 242501027</t>
  </si>
  <si>
    <t>3171600899 / 242501029</t>
  </si>
  <si>
    <t>3178927673 / 242501030</t>
  </si>
  <si>
    <t>3179774240 / 242501031</t>
  </si>
  <si>
    <t>Banjar,     Januari 2025</t>
  </si>
  <si>
    <t>TAHUN AJARAN 2025/2026</t>
  </si>
  <si>
    <t>TAHUN PELAJARAN 2025 /  2026</t>
  </si>
  <si>
    <t>NURSILMY FAUZIYAH</t>
  </si>
  <si>
    <t>Guru PAdBP</t>
  </si>
  <si>
    <t>Banjar,    Agustus 2025</t>
  </si>
  <si>
    <t>III (Tiga) /1</t>
  </si>
  <si>
    <t>BELLA SOPYANA PUTRI</t>
  </si>
  <si>
    <t>TP 1</t>
  </si>
  <si>
    <t>Adittia Purnama</t>
  </si>
  <si>
    <t>Adrian Pratama Putra</t>
  </si>
  <si>
    <t>AFRIZAL HERDIANSAH</t>
  </si>
  <si>
    <t>Alif Zuanka Ramadani</t>
  </si>
  <si>
    <t>Alik Pramana</t>
  </si>
  <si>
    <t>Alya Novitasari</t>
  </si>
  <si>
    <t>Anindita Keisha Zahra</t>
  </si>
  <si>
    <t>AQILLA FARIZA FIRMANSYAH</t>
  </si>
  <si>
    <t>Arkan Al Ghifari</t>
  </si>
  <si>
    <t>Desti Amelia Putri</t>
  </si>
  <si>
    <t>Dimas Parel</t>
  </si>
  <si>
    <t>DZAKY IZWAR RAMADHAN</t>
  </si>
  <si>
    <t>Geneva Rahmi Agustina</t>
  </si>
  <si>
    <t>KANAYA AZAHRA</t>
  </si>
  <si>
    <t>Kanaya Valery Wibawa</t>
  </si>
  <si>
    <t>KAYLA FAUZIYAH PUTRI</t>
  </si>
  <si>
    <t>Meisya Indirawati</t>
  </si>
  <si>
    <t>PUTRI ANDINI</t>
  </si>
  <si>
    <t>Materi Pokok</t>
  </si>
  <si>
    <t>Mari Kita Mengaji dan Mengkaji Q.S. Al-Ḥujurāt/49:13 dan Hadis Keragaman</t>
  </si>
  <si>
    <t>Kode B.1</t>
  </si>
  <si>
    <t>Kode B.2</t>
  </si>
  <si>
    <t>Kode B.3</t>
  </si>
  <si>
    <t>FAREL ALDIYANSYAH</t>
  </si>
  <si>
    <t>Fathurahman Diaz Arbany</t>
  </si>
  <si>
    <t>Hamdan Muttaqin</t>
  </si>
  <si>
    <t>MUHAMMAD IMAM MAULANA</t>
  </si>
  <si>
    <t>MUHAMMAD REZA ADITYA</t>
  </si>
  <si>
    <t>RAISA WINDRIYANI</t>
  </si>
  <si>
    <t>Raivania Ramdani</t>
  </si>
  <si>
    <t>Rangga Gustian Haryanto</t>
  </si>
  <si>
    <t>REVA ROSLIANA</t>
  </si>
  <si>
    <t>RIFAAZKIA SHAQILA NAFISA</t>
  </si>
  <si>
    <t>RISMA YULIANTI</t>
  </si>
  <si>
    <t>Safaringga</t>
  </si>
  <si>
    <t>SALSABILA MERRY TRIYANI</t>
  </si>
  <si>
    <t>SHELI RAMADHANI</t>
  </si>
  <si>
    <t>Silvia Salsabilla</t>
  </si>
  <si>
    <t>SINDY RAHAYU</t>
  </si>
  <si>
    <t>VANIA MEYLISA PUTRI</t>
  </si>
  <si>
    <t>IV A/1</t>
  </si>
  <si>
    <t>Alqur'an dan Hadis</t>
  </si>
  <si>
    <t>: IV A/1</t>
  </si>
  <si>
    <t>: Mari Kita Mengaji dan Mengkaji Q.S. Al-Ḥujurāt/49:13 dan Hadis Keragaman</t>
  </si>
  <si>
    <t>: IV B/1</t>
  </si>
  <si>
    <t>ANALISIS HASIL ASESMEN SUMATIF LINGKUP MATERI</t>
  </si>
  <si>
    <t>ANALISIS HASIL ASESMEN  SUMATIF TUJUAN PEMBELAJARAN</t>
  </si>
  <si>
    <t>ANALISIS HASIL ASESMEN SUMATIF AKHIR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</si>
</sst>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27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Times New Roman"/>
      <family val="1"/>
    </font>
    <font>
      <sz val="8"/>
      <color indexed="8"/>
      <name val="Times New Roman"/>
      <family val="1"/>
    </font>
    <font>
      <sz val="8"/>
      <color theme="1"/>
      <name val="Calibri"/>
      <family val="2"/>
      <charset val="1"/>
      <scheme val="minor"/>
    </font>
    <font>
      <u/>
      <sz val="8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charset val="1"/>
      <scheme val="minor"/>
    </font>
    <font>
      <b/>
      <u/>
      <sz val="10"/>
      <color theme="1"/>
      <name val="Times New Roman"/>
      <family val="1"/>
    </font>
    <font>
      <sz val="8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indexed="8"/>
      <name val="Calibri"/>
      <family val="2"/>
    </font>
    <font>
      <sz val="8"/>
      <name val="Book Antiqua"/>
      <family val="1"/>
    </font>
    <font>
      <sz val="8"/>
      <color theme="0" tint="-0.14999847407452621"/>
      <name val="Times New Roman"/>
      <family val="1"/>
    </font>
    <font>
      <sz val="1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1" applyFont="1"/>
    <xf numFmtId="0" fontId="5" fillId="0" borderId="1" xfId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/>
    <xf numFmtId="0" fontId="9" fillId="2" borderId="7" xfId="0" applyFont="1" applyFill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2" xfId="0" quotePrefix="1" applyFont="1" applyBorder="1" applyAlignment="1">
      <alignment vertical="top"/>
    </xf>
    <xf numFmtId="0" fontId="9" fillId="2" borderId="7" xfId="0" applyFont="1" applyFill="1" applyBorder="1" applyAlignment="1">
      <alignment vertical="center" wrapText="1"/>
    </xf>
    <xf numFmtId="0" fontId="7" fillId="0" borderId="2" xfId="0" quotePrefix="1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horizontal="center" vertical="top"/>
    </xf>
    <xf numFmtId="0" fontId="9" fillId="2" borderId="8" xfId="0" applyFont="1" applyFill="1" applyBorder="1" applyAlignment="1">
      <alignment vertical="top" wrapText="1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right" vertical="center"/>
    </xf>
    <xf numFmtId="0" fontId="4" fillId="0" borderId="6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right" vertical="center"/>
    </xf>
    <xf numFmtId="0" fontId="11" fillId="2" borderId="3" xfId="1" applyFont="1" applyFill="1" applyBorder="1"/>
    <xf numFmtId="0" fontId="11" fillId="2" borderId="9" xfId="1" applyFont="1" applyFill="1" applyBorder="1"/>
    <xf numFmtId="2" fontId="10" fillId="2" borderId="9" xfId="0" applyNumberFormat="1" applyFont="1" applyFill="1" applyBorder="1" applyAlignment="1" applyProtection="1">
      <alignment horizontal="center" vertical="center"/>
      <protection locked="0"/>
    </xf>
    <xf numFmtId="2" fontId="10" fillId="2" borderId="13" xfId="0" applyNumberFormat="1" applyFont="1" applyFill="1" applyBorder="1" applyAlignment="1" applyProtection="1">
      <alignment horizontal="center" vertical="center"/>
      <protection locked="0"/>
    </xf>
    <xf numFmtId="0" fontId="11" fillId="2" borderId="1" xfId="1" applyFont="1" applyFill="1" applyBorder="1"/>
    <xf numFmtId="2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0" xfId="1" applyFont="1" applyFill="1"/>
    <xf numFmtId="0" fontId="10" fillId="0" borderId="0" xfId="0" applyFont="1"/>
    <xf numFmtId="0" fontId="12" fillId="0" borderId="0" xfId="0" applyFont="1"/>
    <xf numFmtId="0" fontId="5" fillId="0" borderId="0" xfId="1" applyFont="1"/>
    <xf numFmtId="0" fontId="13" fillId="0" borderId="0" xfId="1" applyFont="1"/>
    <xf numFmtId="0" fontId="5" fillId="2" borderId="3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1" fontId="5" fillId="3" borderId="3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" fontId="5" fillId="3" borderId="1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2" borderId="0" xfId="1" applyFont="1" applyFill="1" applyAlignment="1">
      <alignment horizontal="center" vertical="center"/>
    </xf>
    <xf numFmtId="1" fontId="5" fillId="2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0" borderId="0" xfId="1" applyFont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2" fontId="10" fillId="2" borderId="3" xfId="0" applyNumberFormat="1" applyFont="1" applyFill="1" applyBorder="1" applyAlignment="1" applyProtection="1">
      <alignment horizontal="center" vertical="center"/>
      <protection locked="0"/>
    </xf>
    <xf numFmtId="2" fontId="10" fillId="2" borderId="1" xfId="0" applyNumberFormat="1" applyFont="1" applyFill="1" applyBorder="1" applyAlignment="1" applyProtection="1">
      <alignment horizontal="center" vertical="center"/>
      <protection locked="0"/>
    </xf>
    <xf numFmtId="2" fontId="10" fillId="2" borderId="4" xfId="0" applyNumberFormat="1" applyFont="1" applyFill="1" applyBorder="1" applyAlignment="1" applyProtection="1">
      <alignment horizontal="center" vertical="center"/>
      <protection locked="0"/>
    </xf>
    <xf numFmtId="0" fontId="11" fillId="2" borderId="1" xfId="1" applyFont="1" applyFill="1" applyBorder="1" applyAlignment="1">
      <alignment horizontal="center" vertical="center"/>
    </xf>
    <xf numFmtId="0" fontId="17" fillId="0" borderId="0" xfId="0" applyFont="1"/>
    <xf numFmtId="0" fontId="4" fillId="0" borderId="5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4" fillId="0" borderId="9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20" fillId="0" borderId="0" xfId="1" applyFont="1"/>
    <xf numFmtId="1" fontId="10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1" fontId="5" fillId="2" borderId="3" xfId="1" applyNumberFormat="1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vertical="center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1" fontId="5" fillId="0" borderId="0" xfId="1" applyNumberFormat="1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1" fontId="23" fillId="0" borderId="14" xfId="0" quotePrefix="1" applyNumberFormat="1" applyFont="1" applyBorder="1" applyAlignment="1">
      <alignment horizontal="left"/>
    </xf>
    <xf numFmtId="0" fontId="24" fillId="0" borderId="14" xfId="0" applyFont="1" applyBorder="1" applyAlignment="1">
      <alignment horizontal="left" vertical="top"/>
    </xf>
    <xf numFmtId="0" fontId="25" fillId="0" borderId="1" xfId="1" applyFont="1" applyBorder="1" applyAlignment="1">
      <alignment horizontal="center" vertical="center"/>
    </xf>
    <xf numFmtId="1" fontId="5" fillId="0" borderId="3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2" fontId="10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26" fillId="0" borderId="15" xfId="0" applyFont="1" applyBorder="1" applyAlignment="1">
      <alignment horizontal="left" vertical="top"/>
    </xf>
    <xf numFmtId="0" fontId="4" fillId="0" borderId="17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2" fontId="14" fillId="0" borderId="1" xfId="0" applyNumberFormat="1" applyFont="1" applyBorder="1" applyAlignment="1" applyProtection="1">
      <alignment horizontal="center" vertical="center"/>
      <protection locked="0"/>
    </xf>
    <xf numFmtId="1" fontId="14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top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textRotation="90"/>
    </xf>
    <xf numFmtId="0" fontId="4" fillId="0" borderId="6" xfId="1" applyFont="1" applyBorder="1" applyAlignment="1">
      <alignment horizontal="center" vertical="center" textRotation="90"/>
    </xf>
    <xf numFmtId="0" fontId="4" fillId="0" borderId="3" xfId="1" applyFont="1" applyBorder="1" applyAlignment="1">
      <alignment horizontal="center" vertical="center" textRotation="90"/>
    </xf>
    <xf numFmtId="0" fontId="4" fillId="0" borderId="16" xfId="1" applyFont="1" applyBorder="1" applyAlignment="1">
      <alignment horizontal="center" vertical="center" textRotation="90"/>
    </xf>
    <xf numFmtId="0" fontId="4" fillId="0" borderId="16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textRotation="90"/>
    </xf>
    <xf numFmtId="0" fontId="3" fillId="0" borderId="6" xfId="1" applyFont="1" applyBorder="1" applyAlignment="1">
      <alignment horizontal="center" vertical="center" textRotation="90"/>
    </xf>
    <xf numFmtId="0" fontId="3" fillId="0" borderId="3" xfId="1" applyFont="1" applyBorder="1" applyAlignment="1">
      <alignment horizontal="center" vertical="center" textRotation="90"/>
    </xf>
    <xf numFmtId="0" fontId="4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Currency [0]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D69E-C014-459D-90DC-7863F361F2A4}">
  <dimension ref="A1:CE89"/>
  <sheetViews>
    <sheetView zoomScaleNormal="100" workbookViewId="0">
      <selection activeCell="AB15" sqref="AB15"/>
    </sheetView>
  </sheetViews>
  <sheetFormatPr defaultRowHeight="14.5" x14ac:dyDescent="0.35"/>
  <cols>
    <col min="1" max="1" width="3.81640625" style="37" customWidth="1"/>
    <col min="2" max="2" width="35.26953125" style="37" customWidth="1"/>
    <col min="3" max="3" width="1.90625" style="37" customWidth="1"/>
    <col min="4" max="4" width="0.81640625" style="37" customWidth="1"/>
    <col min="5" max="5" width="3" style="37" hidden="1" customWidth="1"/>
    <col min="6" max="15" width="2.6328125" style="37" hidden="1" customWidth="1"/>
    <col min="16" max="16" width="3.08984375" style="37" hidden="1" customWidth="1"/>
    <col min="17" max="17" width="3.6328125" style="37" hidden="1" customWidth="1"/>
    <col min="18" max="18" width="4.1796875" style="37" hidden="1" customWidth="1"/>
    <col min="19" max="19" width="16.6328125" style="37" customWidth="1"/>
    <col min="20" max="20" width="13.54296875" style="37" customWidth="1"/>
    <col min="21" max="21" width="15.7265625" style="37" customWidth="1"/>
    <col min="22" max="22" width="18.1796875" style="37" customWidth="1"/>
    <col min="23" max="27" width="2.6328125" style="37" hidden="1" customWidth="1"/>
    <col min="28" max="28" width="11.81640625" style="37" customWidth="1"/>
    <col min="29" max="29" width="8" style="37" hidden="1" customWidth="1"/>
    <col min="30" max="30" width="3.6328125" style="37" hidden="1" customWidth="1"/>
    <col min="31" max="31" width="4.90625" style="37" hidden="1" customWidth="1"/>
    <col min="32" max="32" width="7.1796875" style="37" hidden="1" customWidth="1"/>
    <col min="33" max="33" width="6.26953125" style="37" hidden="1" customWidth="1"/>
    <col min="34" max="34" width="6" style="37" hidden="1" customWidth="1"/>
    <col min="35" max="35" width="6.90625" style="37" hidden="1" customWidth="1"/>
    <col min="36" max="36" width="9" style="37" hidden="1" customWidth="1"/>
    <col min="37" max="39" width="1.1796875" style="37" customWidth="1"/>
    <col min="40" max="40" width="35.36328125" style="37" customWidth="1"/>
    <col min="41" max="41" width="3" style="37" customWidth="1"/>
    <col min="42" max="51" width="2.6328125" style="37" customWidth="1"/>
    <col min="52" max="52" width="2.453125" style="37" hidden="1" customWidth="1"/>
    <col min="53" max="53" width="3.6328125" style="37" customWidth="1"/>
    <col min="54" max="54" width="4.1796875" style="37" customWidth="1"/>
    <col min="55" max="55" width="7.1796875" style="37" customWidth="1"/>
    <col min="56" max="56" width="3" style="37" customWidth="1"/>
    <col min="57" max="66" width="2.6328125" style="37" customWidth="1"/>
    <col min="67" max="67" width="2.453125" style="37" hidden="1" customWidth="1"/>
    <col min="68" max="68" width="3.6328125" style="37" customWidth="1"/>
    <col min="69" max="69" width="4.1796875" style="37" customWidth="1"/>
    <col min="70" max="70" width="7.1796875" style="37" customWidth="1"/>
    <col min="71" max="71" width="1.453125" style="37" customWidth="1"/>
    <col min="72" max="72" width="3.90625" style="37" customWidth="1"/>
    <col min="73" max="74" width="2.6328125" style="37" customWidth="1"/>
    <col min="75" max="76" width="2.6328125" style="38" customWidth="1"/>
    <col min="77" max="77" width="2.6328125" customWidth="1"/>
  </cols>
  <sheetData>
    <row r="1" spans="1:74" s="61" customFormat="1" ht="15" customHeight="1" x14ac:dyDescent="0.3">
      <c r="A1" s="60"/>
      <c r="B1" s="60"/>
      <c r="C1" s="60"/>
      <c r="D1" s="60"/>
      <c r="E1" s="60"/>
      <c r="F1" s="156" t="s">
        <v>167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60"/>
      <c r="AH1" s="157" t="str">
        <f>F1</f>
        <v>PROGRAM REMEDIAL DAN PENGAYAAN</v>
      </c>
      <c r="AI1" s="157"/>
      <c r="AJ1" s="157"/>
      <c r="AK1" s="59"/>
      <c r="AL1" s="59"/>
      <c r="AM1" s="59"/>
      <c r="AN1" s="59"/>
      <c r="AO1" s="60"/>
      <c r="AP1" s="156" t="str">
        <f>AH1</f>
        <v>PROGRAM REMEDIAL DAN PENGAYAAN</v>
      </c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59"/>
      <c r="BT1" s="59"/>
      <c r="BU1" s="59"/>
      <c r="BV1" s="59"/>
    </row>
    <row r="2" spans="1:74" s="61" customFormat="1" ht="15" customHeight="1" x14ac:dyDescent="0.3">
      <c r="A2" s="62"/>
      <c r="B2" s="62"/>
      <c r="C2" s="62"/>
      <c r="D2" s="62"/>
      <c r="E2" s="62"/>
      <c r="F2" s="158" t="s">
        <v>235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62"/>
      <c r="AH2" s="159" t="str">
        <f>F2</f>
        <v>TAHUN PELAJARAN 2025 /  2026</v>
      </c>
      <c r="AI2" s="159"/>
      <c r="AJ2" s="159"/>
      <c r="AK2" s="62"/>
      <c r="AL2" s="62"/>
      <c r="AM2" s="62"/>
      <c r="AN2" s="62"/>
      <c r="AO2" s="62"/>
      <c r="AP2" s="158" t="str">
        <f>AH2</f>
        <v>TAHUN PELAJARAN 2025 /  2026</v>
      </c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59"/>
      <c r="BT2" s="59"/>
      <c r="BU2" s="59"/>
      <c r="BV2" s="59"/>
    </row>
    <row r="3" spans="1:74" s="61" customFormat="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93"/>
      <c r="AI3" s="93"/>
      <c r="AJ3" s="93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59"/>
      <c r="BT3" s="59"/>
      <c r="BU3" s="59"/>
      <c r="BV3" s="59"/>
    </row>
    <row r="4" spans="1:74" s="61" customFormat="1" ht="15" customHeight="1" x14ac:dyDescent="0.3">
      <c r="A4" s="1"/>
      <c r="B4" s="1"/>
      <c r="C4" s="1"/>
      <c r="D4" s="1"/>
      <c r="E4" s="1"/>
      <c r="F4" s="1"/>
      <c r="G4" s="1"/>
      <c r="H4" s="1" t="s">
        <v>5</v>
      </c>
      <c r="I4" s="1" t="s">
        <v>282</v>
      </c>
      <c r="J4" s="1"/>
      <c r="K4" s="1"/>
      <c r="L4" s="1"/>
      <c r="M4" s="1"/>
      <c r="N4" s="1"/>
      <c r="O4" s="1"/>
      <c r="P4" s="1"/>
      <c r="Q4" s="1"/>
      <c r="R4" s="1"/>
      <c r="S4" s="1" t="s">
        <v>0</v>
      </c>
      <c r="T4" s="1" t="s">
        <v>284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93" t="s">
        <v>0</v>
      </c>
      <c r="AI4" s="93"/>
      <c r="AJ4" s="93"/>
      <c r="AK4" s="1"/>
      <c r="AL4" s="1"/>
      <c r="AM4" s="1"/>
      <c r="AN4" s="1"/>
      <c r="AO4" s="1"/>
      <c r="AP4" s="1" t="s">
        <v>0</v>
      </c>
      <c r="AQ4" s="1"/>
      <c r="AR4" s="1"/>
      <c r="AS4" s="1"/>
      <c r="AT4" s="1"/>
      <c r="AU4" s="1"/>
      <c r="AV4" s="1" t="s">
        <v>5</v>
      </c>
      <c r="AW4" s="1" t="e">
        <f>#REF!</f>
        <v>#REF!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59"/>
      <c r="BT4" s="59"/>
      <c r="BU4" s="59"/>
      <c r="BV4" s="59"/>
    </row>
    <row r="5" spans="1:74" s="61" customFormat="1" ht="15" customHeight="1" x14ac:dyDescent="0.3">
      <c r="A5" s="1"/>
      <c r="B5" s="1"/>
      <c r="C5" s="1"/>
      <c r="D5" s="1"/>
      <c r="E5" s="1"/>
      <c r="F5" s="1"/>
      <c r="G5" s="1"/>
      <c r="H5" s="1" t="s">
        <v>5</v>
      </c>
      <c r="I5" s="1">
        <f>'oke Lingk. 1'!L5</f>
        <v>0</v>
      </c>
      <c r="J5" s="1"/>
      <c r="K5" s="1"/>
      <c r="L5" s="1"/>
      <c r="M5" s="1"/>
      <c r="N5" s="1"/>
      <c r="O5" s="1"/>
      <c r="P5" s="1"/>
      <c r="Q5" s="1"/>
      <c r="R5" s="1"/>
      <c r="S5" s="1" t="s">
        <v>20</v>
      </c>
      <c r="T5" s="1" t="s">
        <v>173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93" t="s">
        <v>20</v>
      </c>
      <c r="AI5" s="93"/>
      <c r="AJ5" s="93"/>
      <c r="AK5" s="1"/>
      <c r="AL5" s="1"/>
      <c r="AM5" s="1"/>
      <c r="AN5" s="1"/>
      <c r="AO5" s="1"/>
      <c r="AP5" s="1" t="s">
        <v>20</v>
      </c>
      <c r="AQ5" s="1"/>
      <c r="AR5" s="1"/>
      <c r="AS5" s="1"/>
      <c r="AT5" s="1"/>
      <c r="AU5" s="1"/>
      <c r="AV5" s="1" t="s">
        <v>5</v>
      </c>
      <c r="AW5" s="1" t="e">
        <f>#REF!</f>
        <v>#REF!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59"/>
      <c r="BT5" s="59"/>
      <c r="BU5" s="59"/>
      <c r="BV5" s="59"/>
    </row>
    <row r="6" spans="1:74" s="61" customFormat="1" ht="15" customHeight="1" x14ac:dyDescent="0.3">
      <c r="A6" s="1"/>
      <c r="B6" s="1"/>
      <c r="C6" s="1"/>
      <c r="D6" s="1"/>
      <c r="E6" s="1"/>
      <c r="F6" s="1"/>
      <c r="G6" s="1"/>
      <c r="H6" s="1" t="s">
        <v>5</v>
      </c>
      <c r="I6" s="1" t="s">
        <v>261</v>
      </c>
      <c r="J6" s="1"/>
      <c r="K6" s="1"/>
      <c r="L6" s="1"/>
      <c r="M6" s="1"/>
      <c r="N6" s="1"/>
      <c r="O6" s="1"/>
      <c r="P6" s="1"/>
      <c r="Q6" s="1"/>
      <c r="R6" s="1"/>
      <c r="S6" s="1" t="s">
        <v>260</v>
      </c>
      <c r="T6" s="1" t="s">
        <v>285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93" t="s">
        <v>76</v>
      </c>
      <c r="AI6" s="93"/>
      <c r="AJ6" s="93"/>
      <c r="AK6" s="1"/>
      <c r="AL6" s="1"/>
      <c r="AM6" s="1"/>
      <c r="AN6" s="1"/>
      <c r="AO6" s="1"/>
      <c r="AP6" s="1" t="s">
        <v>76</v>
      </c>
      <c r="AQ6" s="1"/>
      <c r="AR6" s="1"/>
      <c r="AS6" s="1"/>
      <c r="AT6" s="1"/>
      <c r="AU6" s="1"/>
      <c r="AV6" s="1" t="s">
        <v>67</v>
      </c>
      <c r="AW6" s="1" t="e" cm="1">
        <f t="array" ref="AW6">S6T6</f>
        <v>#NAME?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59"/>
      <c r="BT6" s="59"/>
      <c r="BU6" s="59"/>
      <c r="BV6" s="59"/>
    </row>
    <row r="7" spans="1:74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0"/>
      <c r="BI7" s="39"/>
      <c r="BJ7" s="39"/>
      <c r="BK7" s="39"/>
      <c r="BL7" s="39"/>
      <c r="BM7" s="39"/>
      <c r="BN7" s="39"/>
      <c r="BO7" s="39"/>
      <c r="BP7" s="39"/>
      <c r="BQ7" s="39"/>
      <c r="BR7" s="39"/>
    </row>
    <row r="8" spans="1:74" ht="17.399999999999999" customHeight="1" x14ac:dyDescent="0.35">
      <c r="A8" s="138" t="s">
        <v>1</v>
      </c>
      <c r="B8" s="138" t="s">
        <v>2</v>
      </c>
      <c r="C8" s="28"/>
      <c r="D8" s="65"/>
      <c r="E8" s="99" t="s">
        <v>110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150" t="s">
        <v>283</v>
      </c>
      <c r="T8" s="136"/>
      <c r="U8" s="136"/>
      <c r="V8" s="137"/>
      <c r="W8" s="72"/>
      <c r="X8" s="72"/>
      <c r="Y8" s="72"/>
      <c r="Z8" s="72"/>
      <c r="AA8" s="72"/>
      <c r="AB8" s="114"/>
      <c r="AC8" s="151" t="s">
        <v>263</v>
      </c>
      <c r="AD8" s="151"/>
      <c r="AE8" s="151"/>
      <c r="AF8" s="152"/>
      <c r="AG8" s="99" t="s">
        <v>264</v>
      </c>
      <c r="AH8" s="72"/>
      <c r="AI8" s="72"/>
      <c r="AJ8" s="72"/>
      <c r="AK8" s="22"/>
      <c r="AL8" s="111"/>
      <c r="AM8" s="111"/>
      <c r="AN8" s="23"/>
      <c r="AO8" s="135" t="s">
        <v>75</v>
      </c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7"/>
      <c r="BD8" s="135" t="s">
        <v>75</v>
      </c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7"/>
    </row>
    <row r="9" spans="1:74" ht="17.399999999999999" customHeight="1" x14ac:dyDescent="0.35">
      <c r="A9" s="149"/>
      <c r="B9" s="149"/>
      <c r="C9" s="28"/>
      <c r="D9" s="65"/>
      <c r="E9" s="140" t="s">
        <v>77</v>
      </c>
      <c r="F9" s="63">
        <v>1</v>
      </c>
      <c r="G9" s="63">
        <v>2</v>
      </c>
      <c r="H9" s="63">
        <v>3</v>
      </c>
      <c r="I9" s="63">
        <v>4</v>
      </c>
      <c r="J9" s="63">
        <v>5</v>
      </c>
      <c r="K9" s="63">
        <v>6</v>
      </c>
      <c r="L9" s="63">
        <v>7</v>
      </c>
      <c r="M9" s="63">
        <v>8</v>
      </c>
      <c r="N9" s="63">
        <v>9</v>
      </c>
      <c r="O9" s="63">
        <v>10</v>
      </c>
      <c r="P9" s="20"/>
      <c r="Q9" s="138" t="s">
        <v>71</v>
      </c>
      <c r="R9" s="133" t="s">
        <v>3</v>
      </c>
      <c r="S9" s="153" t="s">
        <v>172</v>
      </c>
      <c r="T9" s="146" t="s">
        <v>168</v>
      </c>
      <c r="U9" s="146" t="s">
        <v>169</v>
      </c>
      <c r="V9" s="146" t="s">
        <v>170</v>
      </c>
      <c r="W9" s="115">
        <v>6</v>
      </c>
      <c r="X9" s="115">
        <v>7</v>
      </c>
      <c r="Y9" s="115">
        <v>8</v>
      </c>
      <c r="Z9" s="115">
        <v>9</v>
      </c>
      <c r="AA9" s="115">
        <v>10</v>
      </c>
      <c r="AB9" s="116"/>
      <c r="AC9" s="144" t="s">
        <v>172</v>
      </c>
      <c r="AD9" s="143" t="s">
        <v>168</v>
      </c>
      <c r="AE9" s="143" t="s">
        <v>169</v>
      </c>
      <c r="AF9" s="143" t="s">
        <v>170</v>
      </c>
      <c r="AG9" s="144" t="s">
        <v>172</v>
      </c>
      <c r="AH9" s="143" t="s">
        <v>168</v>
      </c>
      <c r="AI9" s="143" t="s">
        <v>169</v>
      </c>
      <c r="AJ9" s="143" t="s">
        <v>170</v>
      </c>
      <c r="AK9" s="24"/>
      <c r="AL9" s="112"/>
      <c r="AM9" s="112"/>
      <c r="AN9" s="25"/>
      <c r="AO9" s="140" t="s">
        <v>77</v>
      </c>
      <c r="AP9" s="63">
        <v>1</v>
      </c>
      <c r="AQ9" s="63">
        <v>2</v>
      </c>
      <c r="AR9" s="63">
        <v>3</v>
      </c>
      <c r="AS9" s="63">
        <v>4</v>
      </c>
      <c r="AT9" s="63">
        <v>5</v>
      </c>
      <c r="AU9" s="63">
        <v>6</v>
      </c>
      <c r="AV9" s="63">
        <v>7</v>
      </c>
      <c r="AW9" s="63">
        <v>8</v>
      </c>
      <c r="AX9" s="63">
        <v>9</v>
      </c>
      <c r="AY9" s="63">
        <v>10</v>
      </c>
      <c r="AZ9" s="20"/>
      <c r="BA9" s="138" t="s">
        <v>71</v>
      </c>
      <c r="BB9" s="133" t="s">
        <v>3</v>
      </c>
      <c r="BC9" s="133" t="s">
        <v>70</v>
      </c>
      <c r="BD9" s="140" t="s">
        <v>77</v>
      </c>
      <c r="BE9" s="63">
        <v>1</v>
      </c>
      <c r="BF9" s="63">
        <v>2</v>
      </c>
      <c r="BG9" s="63">
        <v>3</v>
      </c>
      <c r="BH9" s="63">
        <v>4</v>
      </c>
      <c r="BI9" s="63">
        <v>5</v>
      </c>
      <c r="BJ9" s="63">
        <v>6</v>
      </c>
      <c r="BK9" s="63">
        <v>7</v>
      </c>
      <c r="BL9" s="63">
        <v>8</v>
      </c>
      <c r="BM9" s="63">
        <v>9</v>
      </c>
      <c r="BN9" s="63">
        <v>10</v>
      </c>
      <c r="BO9" s="20"/>
      <c r="BP9" s="138" t="s">
        <v>71</v>
      </c>
      <c r="BQ9" s="133" t="s">
        <v>3</v>
      </c>
      <c r="BR9" s="133" t="s">
        <v>70</v>
      </c>
    </row>
    <row r="10" spans="1:74" ht="17.399999999999999" customHeight="1" x14ac:dyDescent="0.35">
      <c r="A10" s="149"/>
      <c r="B10" s="149"/>
      <c r="C10" s="28"/>
      <c r="D10" s="65"/>
      <c r="E10" s="141"/>
      <c r="F10" s="135" t="s">
        <v>163</v>
      </c>
      <c r="G10" s="136"/>
      <c r="H10" s="136"/>
      <c r="I10" s="136"/>
      <c r="J10" s="136"/>
      <c r="K10" s="136"/>
      <c r="L10" s="136"/>
      <c r="M10" s="136"/>
      <c r="N10" s="136"/>
      <c r="O10" s="137"/>
      <c r="P10" s="20"/>
      <c r="Q10" s="139"/>
      <c r="R10" s="134"/>
      <c r="S10" s="154"/>
      <c r="T10" s="147"/>
      <c r="U10" s="147"/>
      <c r="V10" s="147"/>
      <c r="W10" s="117"/>
      <c r="X10" s="117"/>
      <c r="Y10" s="117"/>
      <c r="Z10" s="117"/>
      <c r="AA10" s="118"/>
      <c r="AB10" s="119"/>
      <c r="AC10" s="145"/>
      <c r="AD10" s="141"/>
      <c r="AE10" s="141"/>
      <c r="AF10" s="141"/>
      <c r="AG10" s="145"/>
      <c r="AH10" s="141"/>
      <c r="AI10" s="141"/>
      <c r="AJ10" s="141"/>
      <c r="AK10" s="24"/>
      <c r="AL10" s="112"/>
      <c r="AM10" s="112"/>
      <c r="AN10" s="25"/>
      <c r="AO10" s="141"/>
      <c r="AP10" s="135" t="s">
        <v>78</v>
      </c>
      <c r="AQ10" s="136"/>
      <c r="AR10" s="136"/>
      <c r="AS10" s="136"/>
      <c r="AT10" s="136"/>
      <c r="AU10" s="136"/>
      <c r="AV10" s="136"/>
      <c r="AW10" s="136"/>
      <c r="AX10" s="136"/>
      <c r="AY10" s="137"/>
      <c r="AZ10" s="20"/>
      <c r="BA10" s="139"/>
      <c r="BB10" s="134"/>
      <c r="BC10" s="134"/>
      <c r="BD10" s="141"/>
      <c r="BE10" s="135" t="s">
        <v>78</v>
      </c>
      <c r="BF10" s="136"/>
      <c r="BG10" s="136"/>
      <c r="BH10" s="136"/>
      <c r="BI10" s="136"/>
      <c r="BJ10" s="136"/>
      <c r="BK10" s="136"/>
      <c r="BL10" s="136"/>
      <c r="BM10" s="136"/>
      <c r="BN10" s="137"/>
      <c r="BO10" s="20"/>
      <c r="BP10" s="139"/>
      <c r="BQ10" s="134"/>
      <c r="BR10" s="134"/>
    </row>
    <row r="11" spans="1:74" ht="97" customHeight="1" x14ac:dyDescent="0.35">
      <c r="A11" s="64"/>
      <c r="B11" s="19"/>
      <c r="C11" s="29"/>
      <c r="D11" s="66"/>
      <c r="E11" s="142"/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92">
        <v>1</v>
      </c>
      <c r="L11" s="92">
        <v>1</v>
      </c>
      <c r="M11" s="92">
        <v>1</v>
      </c>
      <c r="N11" s="92">
        <v>1</v>
      </c>
      <c r="O11" s="92">
        <v>2</v>
      </c>
      <c r="P11" s="92">
        <v>10</v>
      </c>
      <c r="Q11" s="2"/>
      <c r="R11" s="2"/>
      <c r="S11" s="155"/>
      <c r="T11" s="148"/>
      <c r="U11" s="148"/>
      <c r="V11" s="148"/>
      <c r="W11" s="120"/>
      <c r="X11" s="121">
        <v>1</v>
      </c>
      <c r="Y11" s="121">
        <v>1</v>
      </c>
      <c r="Z11" s="121">
        <v>1</v>
      </c>
      <c r="AA11" s="121">
        <v>2</v>
      </c>
      <c r="AB11" s="122"/>
      <c r="AC11" s="134"/>
      <c r="AD11" s="142"/>
      <c r="AE11" s="142"/>
      <c r="AF11" s="142"/>
      <c r="AG11" s="134"/>
      <c r="AH11" s="142"/>
      <c r="AI11" s="142"/>
      <c r="AJ11" s="142"/>
      <c r="AK11" s="26"/>
      <c r="AL11" s="56"/>
      <c r="AM11" s="56"/>
      <c r="AN11" s="27"/>
      <c r="AO11" s="142"/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2</v>
      </c>
      <c r="AZ11" s="2">
        <f>SUM(AP11:AY11)</f>
        <v>11</v>
      </c>
      <c r="BA11" s="2"/>
      <c r="BB11" s="2"/>
      <c r="BC11" s="2"/>
      <c r="BD11" s="142"/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2</v>
      </c>
      <c r="BO11" s="2">
        <f>SUM(BE11:BN11)</f>
        <v>11</v>
      </c>
      <c r="BP11" s="2"/>
      <c r="BQ11" s="2"/>
      <c r="BR11" s="2"/>
    </row>
    <row r="12" spans="1:74" ht="15" customHeight="1" x14ac:dyDescent="0.35">
      <c r="A12" s="41">
        <v>1</v>
      </c>
      <c r="B12" s="132" t="s">
        <v>242</v>
      </c>
      <c r="C12" s="31"/>
      <c r="D12" s="36"/>
      <c r="E12" s="70">
        <v>70</v>
      </c>
      <c r="F12" s="42">
        <v>0</v>
      </c>
      <c r="G12" s="42">
        <v>2</v>
      </c>
      <c r="H12" s="42">
        <v>2</v>
      </c>
      <c r="I12" s="42">
        <v>2</v>
      </c>
      <c r="J12" s="42">
        <v>0</v>
      </c>
      <c r="K12" s="42"/>
      <c r="L12" s="42"/>
      <c r="M12" s="42"/>
      <c r="N12" s="42"/>
      <c r="O12" s="42"/>
      <c r="P12" s="2"/>
      <c r="Q12" s="43">
        <f>SUM(F12:O12)</f>
        <v>6</v>
      </c>
      <c r="R12" s="44">
        <f>Q12/P11*100</f>
        <v>60</v>
      </c>
      <c r="S12" s="123" t="s">
        <v>24</v>
      </c>
      <c r="T12" s="124">
        <v>80</v>
      </c>
      <c r="U12" s="124">
        <v>80</v>
      </c>
      <c r="V12" s="125" t="s">
        <v>171</v>
      </c>
      <c r="W12" s="125"/>
      <c r="X12" s="125"/>
      <c r="Y12" s="125"/>
      <c r="Z12" s="125"/>
      <c r="AA12" s="125"/>
      <c r="AB12" s="125"/>
      <c r="AC12" s="42" t="s">
        <v>24</v>
      </c>
      <c r="AD12" s="50">
        <v>80</v>
      </c>
      <c r="AE12" s="50">
        <v>80</v>
      </c>
      <c r="AF12" s="42" t="s">
        <v>171</v>
      </c>
      <c r="AG12" s="70" t="s">
        <v>24</v>
      </c>
      <c r="AH12" s="42">
        <v>80</v>
      </c>
      <c r="AI12" s="42">
        <v>80</v>
      </c>
      <c r="AJ12" s="42" t="s">
        <v>171</v>
      </c>
      <c r="AK12" s="32"/>
      <c r="AL12" s="110"/>
      <c r="AM12" s="110"/>
      <c r="AN12" s="33"/>
      <c r="AO12" s="70">
        <v>65</v>
      </c>
      <c r="AP12" s="42">
        <v>1</v>
      </c>
      <c r="AQ12" s="42">
        <v>1</v>
      </c>
      <c r="AR12" s="42">
        <v>1</v>
      </c>
      <c r="AS12" s="42">
        <v>1</v>
      </c>
      <c r="AT12" s="42">
        <v>1</v>
      </c>
      <c r="AU12" s="42">
        <v>1</v>
      </c>
      <c r="AV12" s="42">
        <v>1</v>
      </c>
      <c r="AW12" s="42">
        <v>1</v>
      </c>
      <c r="AX12" s="42">
        <v>1</v>
      </c>
      <c r="AY12" s="42">
        <v>2</v>
      </c>
      <c r="AZ12" s="2"/>
      <c r="BA12" s="43">
        <f>SUM(AP12:AY12)</f>
        <v>11</v>
      </c>
      <c r="BB12" s="44">
        <f>BA12/AZ11*100</f>
        <v>100</v>
      </c>
      <c r="BC12" s="35" t="str">
        <f>IFERROR(IF(BB12&lt;AO12,"Perbaiakan",IF(BB12&gt;=AO12,"Pengayaan","")),"")</f>
        <v>Pengayaan</v>
      </c>
      <c r="BD12" s="67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3">
        <f>SUM(BE12:BN12)</f>
        <v>0</v>
      </c>
      <c r="BQ12" s="44">
        <f>BP12/BO11*100</f>
        <v>0</v>
      </c>
      <c r="BR12" s="35" t="str">
        <f>IFERROR(IF(BQ12&lt;BD12,"Perbaiakan",IF(BQ12&gt;=BD12,"Pengayaan","")),"")</f>
        <v>Pengayaan</v>
      </c>
    </row>
    <row r="13" spans="1:74" ht="15" customHeight="1" x14ac:dyDescent="0.35">
      <c r="A13" s="45">
        <v>2</v>
      </c>
      <c r="B13" s="132" t="s">
        <v>243</v>
      </c>
      <c r="C13" s="31"/>
      <c r="D13" s="36"/>
      <c r="E13" s="70">
        <v>70</v>
      </c>
      <c r="F13" s="2">
        <v>0</v>
      </c>
      <c r="G13" s="2">
        <v>2</v>
      </c>
      <c r="H13" s="2">
        <v>2</v>
      </c>
      <c r="I13" s="2">
        <v>2</v>
      </c>
      <c r="J13" s="2">
        <v>2</v>
      </c>
      <c r="K13" s="2"/>
      <c r="L13" s="2"/>
      <c r="M13" s="2"/>
      <c r="N13" s="2"/>
      <c r="O13" s="2"/>
      <c r="P13" s="2"/>
      <c r="Q13" s="43">
        <f t="shared" ref="Q13:Q29" si="0">SUM(F13:O13)</f>
        <v>8</v>
      </c>
      <c r="R13" s="44">
        <f>Q13/P11*100</f>
        <v>80</v>
      </c>
      <c r="S13" s="123" t="str">
        <f t="shared" ref="S13:S19" si="1">IFERROR(IF(R13&lt;E13,"Perbaiakan",IF(R13&gt;=E13,"Pengayaan","")),"")</f>
        <v>Pengayaan</v>
      </c>
      <c r="T13" s="124">
        <v>90</v>
      </c>
      <c r="U13" s="124">
        <v>90</v>
      </c>
      <c r="V13" s="125" t="s">
        <v>171</v>
      </c>
      <c r="W13" s="120"/>
      <c r="X13" s="120"/>
      <c r="Y13" s="120"/>
      <c r="Z13" s="120"/>
      <c r="AA13" s="120"/>
      <c r="AB13" s="126"/>
      <c r="AC13" s="2" t="s">
        <v>24</v>
      </c>
      <c r="AD13" s="50">
        <v>80</v>
      </c>
      <c r="AE13" s="50">
        <v>80</v>
      </c>
      <c r="AF13" s="42" t="s">
        <v>171</v>
      </c>
      <c r="AG13" s="70" t="s">
        <v>24</v>
      </c>
      <c r="AH13" s="2">
        <v>100</v>
      </c>
      <c r="AI13" s="2">
        <v>100</v>
      </c>
      <c r="AJ13" s="42" t="s">
        <v>171</v>
      </c>
      <c r="AK13" s="32"/>
      <c r="AL13" s="110"/>
      <c r="AM13" s="110"/>
      <c r="AN13" s="33"/>
      <c r="AO13" s="70">
        <v>60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/>
      <c r="AW13" s="2"/>
      <c r="AX13" s="2"/>
      <c r="AY13" s="2"/>
      <c r="AZ13" s="2"/>
      <c r="BA13" s="43">
        <f t="shared" ref="BA13:BA29" si="2">SUM(AP13:AY13)</f>
        <v>6</v>
      </c>
      <c r="BB13" s="44">
        <f>BA13/AZ11*100</f>
        <v>54.54545454545454</v>
      </c>
      <c r="BC13" s="35" t="str">
        <f t="shared" ref="BC13:BC29" si="3">IFERROR(IF(BB13&lt;AO13,"Perbaiakan",IF(BB13&gt;=AO13,"Pengayaan","")),"")</f>
        <v>Perbaiakan</v>
      </c>
      <c r="BD13" s="68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43">
        <f t="shared" ref="BP13:BP29" si="4">SUM(BE13:BN13)</f>
        <v>0</v>
      </c>
      <c r="BQ13" s="44">
        <f>BP13/BO11*100</f>
        <v>0</v>
      </c>
      <c r="BR13" s="35" t="str">
        <f t="shared" ref="BR13:BR29" si="5">IFERROR(IF(BQ13&lt;BD13,"Perbaiakan",IF(BQ13&gt;=BD13,"Pengayaan","")),"")</f>
        <v>Pengayaan</v>
      </c>
    </row>
    <row r="14" spans="1:74" ht="15" customHeight="1" x14ac:dyDescent="0.35">
      <c r="A14" s="41">
        <v>3</v>
      </c>
      <c r="B14" s="132" t="s">
        <v>244</v>
      </c>
      <c r="C14" s="31"/>
      <c r="D14" s="36"/>
      <c r="E14" s="70">
        <v>70</v>
      </c>
      <c r="F14" s="2">
        <v>2</v>
      </c>
      <c r="G14" s="2">
        <v>0</v>
      </c>
      <c r="H14" s="2">
        <v>2</v>
      </c>
      <c r="I14" s="2">
        <v>2</v>
      </c>
      <c r="J14" s="2">
        <v>2</v>
      </c>
      <c r="K14" s="2"/>
      <c r="L14" s="2"/>
      <c r="M14" s="2"/>
      <c r="N14" s="2"/>
      <c r="O14" s="2"/>
      <c r="P14" s="2"/>
      <c r="Q14" s="43">
        <f t="shared" si="0"/>
        <v>8</v>
      </c>
      <c r="R14" s="44">
        <f>Q14/P11*100</f>
        <v>80</v>
      </c>
      <c r="S14" s="123" t="str">
        <f>IFERROR(IF(R14&lt;E14,"Perbaikan",IF(R14&gt;=E14,"Pengayaan","")),"")</f>
        <v>Pengayaan</v>
      </c>
      <c r="T14" s="124">
        <v>85</v>
      </c>
      <c r="U14" s="124">
        <v>85</v>
      </c>
      <c r="V14" s="125" t="s">
        <v>171</v>
      </c>
      <c r="W14" s="120"/>
      <c r="X14" s="120"/>
      <c r="Y14" s="120"/>
      <c r="Z14" s="120"/>
      <c r="AA14" s="120"/>
      <c r="AB14" s="126"/>
      <c r="AC14" s="2" t="s">
        <v>24</v>
      </c>
      <c r="AD14" s="50">
        <v>80</v>
      </c>
      <c r="AE14" s="50">
        <v>80</v>
      </c>
      <c r="AF14" s="42" t="s">
        <v>171</v>
      </c>
      <c r="AG14" s="70" t="s">
        <v>24</v>
      </c>
      <c r="AH14" s="2">
        <v>80</v>
      </c>
      <c r="AI14" s="2">
        <v>80</v>
      </c>
      <c r="AJ14" s="42" t="s">
        <v>171</v>
      </c>
      <c r="AK14" s="32"/>
      <c r="AL14" s="110"/>
      <c r="AM14" s="110"/>
      <c r="AN14" s="33"/>
      <c r="AO14" s="7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43">
        <f t="shared" si="2"/>
        <v>0</v>
      </c>
      <c r="BB14" s="44">
        <f>BA14/AZ11*100</f>
        <v>0</v>
      </c>
      <c r="BC14" s="35" t="str">
        <f t="shared" si="3"/>
        <v>Pengayaan</v>
      </c>
      <c r="BD14" s="68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43">
        <f t="shared" si="4"/>
        <v>0</v>
      </c>
      <c r="BQ14" s="44">
        <f>BP14/BO11*100</f>
        <v>0</v>
      </c>
      <c r="BR14" s="35" t="str">
        <f t="shared" si="5"/>
        <v>Pengayaan</v>
      </c>
    </row>
    <row r="15" spans="1:74" ht="15" customHeight="1" x14ac:dyDescent="0.35">
      <c r="A15" s="45">
        <v>4</v>
      </c>
      <c r="B15" s="132" t="s">
        <v>245</v>
      </c>
      <c r="C15" s="31"/>
      <c r="D15" s="36"/>
      <c r="E15" s="70">
        <v>70</v>
      </c>
      <c r="F15" s="2">
        <v>2</v>
      </c>
      <c r="G15" s="2">
        <v>2</v>
      </c>
      <c r="H15" s="2">
        <v>2</v>
      </c>
      <c r="I15" s="2">
        <v>0</v>
      </c>
      <c r="J15" s="2">
        <v>2</v>
      </c>
      <c r="K15" s="2"/>
      <c r="L15" s="2"/>
      <c r="M15" s="2"/>
      <c r="N15" s="2"/>
      <c r="O15" s="2"/>
      <c r="P15" s="2"/>
      <c r="Q15" s="43">
        <f t="shared" si="0"/>
        <v>8</v>
      </c>
      <c r="R15" s="44">
        <f>Q15/P11*100</f>
        <v>80</v>
      </c>
      <c r="S15" s="123" t="str">
        <f t="shared" si="1"/>
        <v>Pengayaan</v>
      </c>
      <c r="T15" s="124">
        <v>90</v>
      </c>
      <c r="U15" s="124">
        <v>90</v>
      </c>
      <c r="V15" s="125" t="s">
        <v>171</v>
      </c>
      <c r="W15" s="120"/>
      <c r="X15" s="120"/>
      <c r="Y15" s="120"/>
      <c r="Z15" s="120"/>
      <c r="AA15" s="120"/>
      <c r="AB15" s="126"/>
      <c r="AC15" s="2" t="s">
        <v>24</v>
      </c>
      <c r="AD15" s="50">
        <v>80</v>
      </c>
      <c r="AE15" s="50">
        <v>80</v>
      </c>
      <c r="AF15" s="42" t="s">
        <v>171</v>
      </c>
      <c r="AG15" s="70" t="s">
        <v>24</v>
      </c>
      <c r="AH15" s="2">
        <v>100</v>
      </c>
      <c r="AI15" s="2">
        <v>100</v>
      </c>
      <c r="AJ15" s="42" t="s">
        <v>171</v>
      </c>
      <c r="AK15" s="32"/>
      <c r="AL15" s="110"/>
      <c r="AM15" s="110"/>
      <c r="AN15" s="33"/>
      <c r="AO15" s="70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43">
        <f t="shared" si="2"/>
        <v>0</v>
      </c>
      <c r="BB15" s="44">
        <f>BA15/AZ11*100</f>
        <v>0</v>
      </c>
      <c r="BC15" s="35" t="str">
        <f t="shared" si="3"/>
        <v>Pengayaan</v>
      </c>
      <c r="BD15" s="68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43">
        <f t="shared" si="4"/>
        <v>0</v>
      </c>
      <c r="BQ15" s="44">
        <f>BP15/BO11*100</f>
        <v>0</v>
      </c>
      <c r="BR15" s="35" t="str">
        <f t="shared" si="5"/>
        <v>Pengayaan</v>
      </c>
    </row>
    <row r="16" spans="1:74" ht="15" customHeight="1" x14ac:dyDescent="0.35">
      <c r="A16" s="41">
        <v>5</v>
      </c>
      <c r="B16" s="132" t="s">
        <v>246</v>
      </c>
      <c r="C16" s="31"/>
      <c r="D16" s="36"/>
      <c r="E16" s="70">
        <v>70</v>
      </c>
      <c r="F16" s="2">
        <v>0</v>
      </c>
      <c r="G16" s="2">
        <v>0</v>
      </c>
      <c r="H16" s="2">
        <v>2</v>
      </c>
      <c r="I16" s="2">
        <v>2</v>
      </c>
      <c r="J16" s="2">
        <v>0</v>
      </c>
      <c r="K16" s="2"/>
      <c r="L16" s="2"/>
      <c r="M16" s="2"/>
      <c r="N16" s="2"/>
      <c r="O16" s="2"/>
      <c r="P16" s="2"/>
      <c r="Q16" s="43">
        <f t="shared" si="0"/>
        <v>4</v>
      </c>
      <c r="R16" s="44">
        <f>Q16/P11*100</f>
        <v>40</v>
      </c>
      <c r="S16" s="123" t="str">
        <f>IFERROR(IF(R16&lt;E16,"Perbaikan",IF(R16&gt;=E16,"Pengayaan","")),"")</f>
        <v>Perbaikan</v>
      </c>
      <c r="T16" s="124">
        <v>55.000000000000007</v>
      </c>
      <c r="U16" s="124">
        <v>70</v>
      </c>
      <c r="V16" s="125" t="s">
        <v>171</v>
      </c>
      <c r="W16" s="120"/>
      <c r="X16" s="120"/>
      <c r="Y16" s="120"/>
      <c r="Z16" s="120"/>
      <c r="AA16" s="120"/>
      <c r="AB16" s="126"/>
      <c r="AC16" s="2" t="s">
        <v>24</v>
      </c>
      <c r="AD16" s="50">
        <v>80</v>
      </c>
      <c r="AE16" s="50">
        <v>80</v>
      </c>
      <c r="AF16" s="42" t="s">
        <v>171</v>
      </c>
      <c r="AG16" s="70" t="s">
        <v>23</v>
      </c>
      <c r="AH16" s="2">
        <v>60</v>
      </c>
      <c r="AI16" s="2">
        <v>70</v>
      </c>
      <c r="AJ16" s="42" t="s">
        <v>171</v>
      </c>
      <c r="AK16" s="32"/>
      <c r="AL16" s="110"/>
      <c r="AM16" s="110"/>
      <c r="AN16" s="33"/>
      <c r="AO16" s="70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43">
        <f t="shared" si="2"/>
        <v>0</v>
      </c>
      <c r="BB16" s="44">
        <f>BA16/AZ11*100</f>
        <v>0</v>
      </c>
      <c r="BC16" s="35" t="str">
        <f t="shared" si="3"/>
        <v>Pengayaan</v>
      </c>
      <c r="BD16" s="68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43">
        <f t="shared" si="4"/>
        <v>0</v>
      </c>
      <c r="BQ16" s="44">
        <f>BP16/BO11*100</f>
        <v>0</v>
      </c>
      <c r="BR16" s="35" t="str">
        <f t="shared" si="5"/>
        <v>Pengayaan</v>
      </c>
    </row>
    <row r="17" spans="1:83" ht="15" customHeight="1" x14ac:dyDescent="0.35">
      <c r="A17" s="45">
        <v>6</v>
      </c>
      <c r="B17" s="132" t="s">
        <v>247</v>
      </c>
      <c r="C17" s="31"/>
      <c r="D17" s="36"/>
      <c r="E17" s="70">
        <v>70</v>
      </c>
      <c r="F17" s="2">
        <v>2</v>
      </c>
      <c r="G17" s="2">
        <v>2</v>
      </c>
      <c r="H17" s="2">
        <v>2</v>
      </c>
      <c r="I17" s="2">
        <v>2</v>
      </c>
      <c r="J17" s="2">
        <v>0</v>
      </c>
      <c r="K17" s="2"/>
      <c r="L17" s="2"/>
      <c r="M17" s="2"/>
      <c r="N17" s="2"/>
      <c r="O17" s="2"/>
      <c r="P17" s="2"/>
      <c r="Q17" s="43">
        <f t="shared" si="0"/>
        <v>8</v>
      </c>
      <c r="R17" s="44">
        <f>Q17/P11*100</f>
        <v>80</v>
      </c>
      <c r="S17" s="123" t="str">
        <f t="shared" si="1"/>
        <v>Pengayaan</v>
      </c>
      <c r="T17" s="124">
        <v>90</v>
      </c>
      <c r="U17" s="124">
        <v>90</v>
      </c>
      <c r="V17" s="125" t="s">
        <v>171</v>
      </c>
      <c r="W17" s="120"/>
      <c r="X17" s="120"/>
      <c r="Y17" s="120"/>
      <c r="Z17" s="120"/>
      <c r="AA17" s="120"/>
      <c r="AB17" s="126"/>
      <c r="AC17" s="2" t="s">
        <v>23</v>
      </c>
      <c r="AD17" s="50">
        <v>60</v>
      </c>
      <c r="AE17" s="50">
        <v>70</v>
      </c>
      <c r="AF17" s="42" t="s">
        <v>171</v>
      </c>
      <c r="AG17" s="70" t="s">
        <v>24</v>
      </c>
      <c r="AH17" s="2">
        <v>80</v>
      </c>
      <c r="AI17" s="2">
        <v>80</v>
      </c>
      <c r="AJ17" s="42" t="s">
        <v>171</v>
      </c>
      <c r="AK17" s="32"/>
      <c r="AL17" s="110"/>
      <c r="AM17" s="110"/>
      <c r="AN17" s="33"/>
      <c r="AO17" s="70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43">
        <f t="shared" si="2"/>
        <v>0</v>
      </c>
      <c r="BB17" s="44">
        <f>BA17/AZ11*100</f>
        <v>0</v>
      </c>
      <c r="BC17" s="35" t="str">
        <f t="shared" si="3"/>
        <v>Pengayaan</v>
      </c>
      <c r="BD17" s="68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43">
        <f t="shared" si="4"/>
        <v>0</v>
      </c>
      <c r="BQ17" s="44">
        <f>BP17/BO11*100</f>
        <v>0</v>
      </c>
      <c r="BR17" s="35" t="str">
        <f t="shared" si="5"/>
        <v>Pengayaan</v>
      </c>
    </row>
    <row r="18" spans="1:83" ht="15" customHeight="1" x14ac:dyDescent="0.35">
      <c r="A18" s="41">
        <v>7</v>
      </c>
      <c r="B18" s="132" t="s">
        <v>248</v>
      </c>
      <c r="C18" s="31"/>
      <c r="D18" s="36"/>
      <c r="E18" s="70">
        <v>70</v>
      </c>
      <c r="F18" s="2">
        <v>2</v>
      </c>
      <c r="G18" s="2">
        <v>2</v>
      </c>
      <c r="H18" s="2">
        <v>2</v>
      </c>
      <c r="I18" s="2">
        <v>2</v>
      </c>
      <c r="J18" s="2">
        <v>0</v>
      </c>
      <c r="K18" s="2"/>
      <c r="L18" s="2"/>
      <c r="M18" s="2"/>
      <c r="N18" s="2"/>
      <c r="O18" s="2"/>
      <c r="P18" s="2"/>
      <c r="Q18" s="43">
        <f t="shared" si="0"/>
        <v>8</v>
      </c>
      <c r="R18" s="44">
        <f>Q18/P11*100</f>
        <v>80</v>
      </c>
      <c r="S18" s="123" t="str">
        <f t="shared" si="1"/>
        <v>Pengayaan</v>
      </c>
      <c r="T18" s="124">
        <v>75</v>
      </c>
      <c r="U18" s="124">
        <v>75</v>
      </c>
      <c r="V18" s="125" t="s">
        <v>171</v>
      </c>
      <c r="W18" s="120"/>
      <c r="X18" s="120"/>
      <c r="Y18" s="120"/>
      <c r="Z18" s="120"/>
      <c r="AA18" s="120"/>
      <c r="AB18" s="126"/>
      <c r="AC18" s="2" t="s">
        <v>24</v>
      </c>
      <c r="AD18" s="50">
        <v>80</v>
      </c>
      <c r="AE18" s="50">
        <v>80</v>
      </c>
      <c r="AF18" s="42" t="s">
        <v>171</v>
      </c>
      <c r="AG18" s="70" t="s">
        <v>24</v>
      </c>
      <c r="AH18" s="2">
        <v>80</v>
      </c>
      <c r="AI18" s="2">
        <v>80</v>
      </c>
      <c r="AJ18" s="42" t="s">
        <v>171</v>
      </c>
      <c r="AK18" s="32"/>
      <c r="AL18" s="110"/>
      <c r="AM18" s="110"/>
      <c r="AN18" s="33"/>
      <c r="AO18" s="70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43">
        <f t="shared" si="2"/>
        <v>0</v>
      </c>
      <c r="BB18" s="44">
        <f>BA18/AZ11*100</f>
        <v>0</v>
      </c>
      <c r="BC18" s="35" t="str">
        <f t="shared" si="3"/>
        <v>Pengayaan</v>
      </c>
      <c r="BD18" s="68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43">
        <f t="shared" si="4"/>
        <v>0</v>
      </c>
      <c r="BQ18" s="44">
        <f>BP18/BO11*100</f>
        <v>0</v>
      </c>
      <c r="BR18" s="35" t="str">
        <f t="shared" si="5"/>
        <v>Pengayaan</v>
      </c>
    </row>
    <row r="19" spans="1:83" ht="15" customHeight="1" x14ac:dyDescent="0.35">
      <c r="A19" s="45">
        <v>8</v>
      </c>
      <c r="B19" s="132" t="s">
        <v>249</v>
      </c>
      <c r="C19" s="31"/>
      <c r="D19" s="36"/>
      <c r="E19" s="70">
        <v>70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/>
      <c r="L19" s="2"/>
      <c r="M19" s="2"/>
      <c r="N19" s="2"/>
      <c r="O19" s="2"/>
      <c r="P19" s="2"/>
      <c r="Q19" s="43">
        <f t="shared" si="0"/>
        <v>10</v>
      </c>
      <c r="R19" s="44">
        <f>Q19/P11*100</f>
        <v>100</v>
      </c>
      <c r="S19" s="123" t="str">
        <f t="shared" si="1"/>
        <v>Pengayaan</v>
      </c>
      <c r="T19" s="124">
        <v>75</v>
      </c>
      <c r="U19" s="124">
        <v>75</v>
      </c>
      <c r="V19" s="125" t="s">
        <v>171</v>
      </c>
      <c r="W19" s="120"/>
      <c r="X19" s="120"/>
      <c r="Y19" s="120"/>
      <c r="Z19" s="120"/>
      <c r="AA19" s="120"/>
      <c r="AB19" s="126"/>
      <c r="AC19" s="2" t="s">
        <v>24</v>
      </c>
      <c r="AD19" s="50">
        <v>80</v>
      </c>
      <c r="AE19" s="50">
        <v>80</v>
      </c>
      <c r="AF19" s="42" t="s">
        <v>171</v>
      </c>
      <c r="AG19" s="70" t="s">
        <v>24</v>
      </c>
      <c r="AH19" s="2">
        <v>80</v>
      </c>
      <c r="AI19" s="2">
        <v>80</v>
      </c>
      <c r="AJ19" s="42" t="s">
        <v>171</v>
      </c>
      <c r="AK19" s="32"/>
      <c r="AL19" s="110"/>
      <c r="AM19" s="110"/>
      <c r="AN19" s="33"/>
      <c r="AO19" s="70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43">
        <f t="shared" si="2"/>
        <v>0</v>
      </c>
      <c r="BB19" s="44">
        <f>BA19/AZ11*100</f>
        <v>0</v>
      </c>
      <c r="BC19" s="35" t="str">
        <f t="shared" si="3"/>
        <v>Pengayaan</v>
      </c>
      <c r="BD19" s="68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43">
        <f t="shared" si="4"/>
        <v>0</v>
      </c>
      <c r="BQ19" s="44">
        <f>BP19/BO11*100</f>
        <v>0</v>
      </c>
      <c r="BR19" s="35" t="str">
        <f t="shared" si="5"/>
        <v>Pengayaan</v>
      </c>
    </row>
    <row r="20" spans="1:83" ht="15" customHeight="1" x14ac:dyDescent="0.35">
      <c r="A20" s="41">
        <v>9</v>
      </c>
      <c r="B20" s="132" t="s">
        <v>250</v>
      </c>
      <c r="C20" s="31"/>
      <c r="D20" s="36"/>
      <c r="E20" s="70">
        <v>70</v>
      </c>
      <c r="F20" s="2">
        <v>2</v>
      </c>
      <c r="G20" s="2">
        <v>2</v>
      </c>
      <c r="H20" s="2">
        <v>2</v>
      </c>
      <c r="I20" s="2">
        <v>0</v>
      </c>
      <c r="J20" s="2">
        <v>2</v>
      </c>
      <c r="K20" s="2"/>
      <c r="L20" s="2"/>
      <c r="M20" s="2"/>
      <c r="N20" s="2"/>
      <c r="O20" s="2"/>
      <c r="P20" s="2"/>
      <c r="Q20" s="43">
        <f t="shared" si="0"/>
        <v>8</v>
      </c>
      <c r="R20" s="44">
        <f>Q20/P11*100</f>
        <v>80</v>
      </c>
      <c r="S20" s="123" t="s">
        <v>23</v>
      </c>
      <c r="T20" s="124">
        <v>85</v>
      </c>
      <c r="U20" s="124">
        <v>70</v>
      </c>
      <c r="V20" s="125" t="s">
        <v>171</v>
      </c>
      <c r="W20" s="120"/>
      <c r="X20" s="120"/>
      <c r="Y20" s="120"/>
      <c r="Z20" s="120"/>
      <c r="AA20" s="120"/>
      <c r="AB20" s="126"/>
      <c r="AC20" s="2" t="s">
        <v>24</v>
      </c>
      <c r="AD20" s="50">
        <v>80</v>
      </c>
      <c r="AE20" s="50">
        <v>80</v>
      </c>
      <c r="AF20" s="42" t="s">
        <v>171</v>
      </c>
      <c r="AG20" s="70" t="s">
        <v>24</v>
      </c>
      <c r="AH20" s="2">
        <v>80</v>
      </c>
      <c r="AI20" s="2">
        <v>80</v>
      </c>
      <c r="AJ20" s="42" t="s">
        <v>171</v>
      </c>
      <c r="AK20" s="32"/>
      <c r="AL20" s="110"/>
      <c r="AM20" s="110"/>
      <c r="AN20" s="33"/>
      <c r="AO20" s="70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43">
        <f t="shared" si="2"/>
        <v>0</v>
      </c>
      <c r="BB20" s="44">
        <f>BA20/AZ11*100</f>
        <v>0</v>
      </c>
      <c r="BC20" s="35" t="str">
        <f t="shared" si="3"/>
        <v>Pengayaan</v>
      </c>
      <c r="BD20" s="68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43">
        <f t="shared" si="4"/>
        <v>0</v>
      </c>
      <c r="BQ20" s="44">
        <f>BP20/BO11*100</f>
        <v>0</v>
      </c>
      <c r="BR20" s="35" t="str">
        <f t="shared" si="5"/>
        <v>Pengayaan</v>
      </c>
    </row>
    <row r="21" spans="1:83" ht="15" customHeight="1" x14ac:dyDescent="0.35">
      <c r="A21" s="45">
        <v>10</v>
      </c>
      <c r="B21" s="132" t="s">
        <v>251</v>
      </c>
      <c r="C21" s="31"/>
      <c r="D21" s="36"/>
      <c r="E21" s="70">
        <v>70</v>
      </c>
      <c r="F21" s="2">
        <v>0</v>
      </c>
      <c r="G21" s="2">
        <v>0</v>
      </c>
      <c r="H21" s="2">
        <v>2</v>
      </c>
      <c r="I21" s="2">
        <v>0</v>
      </c>
      <c r="J21" s="2">
        <v>0</v>
      </c>
      <c r="K21" s="2"/>
      <c r="L21" s="2"/>
      <c r="M21" s="2"/>
      <c r="N21" s="2"/>
      <c r="O21" s="2"/>
      <c r="P21" s="2"/>
      <c r="Q21" s="43">
        <f t="shared" si="0"/>
        <v>2</v>
      </c>
      <c r="R21" s="44">
        <f>Q21/P11*100</f>
        <v>20</v>
      </c>
      <c r="S21" s="123" t="s">
        <v>24</v>
      </c>
      <c r="T21" s="124">
        <v>70</v>
      </c>
      <c r="U21" s="124">
        <v>75</v>
      </c>
      <c r="V21" s="125" t="s">
        <v>171</v>
      </c>
      <c r="W21" s="120"/>
      <c r="X21" s="120"/>
      <c r="Y21" s="120"/>
      <c r="Z21" s="120"/>
      <c r="AA21" s="120"/>
      <c r="AB21" s="126"/>
      <c r="AC21" s="2" t="s">
        <v>23</v>
      </c>
      <c r="AD21" s="50">
        <v>0</v>
      </c>
      <c r="AE21" s="50">
        <v>70</v>
      </c>
      <c r="AF21" s="42" t="s">
        <v>171</v>
      </c>
      <c r="AG21" s="70" t="s">
        <v>23</v>
      </c>
      <c r="AH21" s="2">
        <v>0</v>
      </c>
      <c r="AI21" s="2">
        <v>70</v>
      </c>
      <c r="AJ21" s="42" t="s">
        <v>171</v>
      </c>
      <c r="AK21" s="32"/>
      <c r="AL21" s="110"/>
      <c r="AM21" s="110"/>
      <c r="AN21" s="33"/>
      <c r="AO21" s="70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43">
        <f t="shared" si="2"/>
        <v>0</v>
      </c>
      <c r="BB21" s="44">
        <f>BA21/AZ11*100</f>
        <v>0</v>
      </c>
      <c r="BC21" s="35" t="str">
        <f t="shared" si="3"/>
        <v>Pengayaan</v>
      </c>
      <c r="BD21" s="68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43">
        <f t="shared" si="4"/>
        <v>0</v>
      </c>
      <c r="BQ21" s="44">
        <f>BP21/BO11*100</f>
        <v>0</v>
      </c>
      <c r="BR21" s="35" t="str">
        <f t="shared" si="5"/>
        <v>Pengayaan</v>
      </c>
    </row>
    <row r="22" spans="1:83" ht="15" customHeight="1" x14ac:dyDescent="0.35">
      <c r="A22" s="41">
        <v>11</v>
      </c>
      <c r="B22" s="132" t="s">
        <v>252</v>
      </c>
      <c r="C22" s="31"/>
      <c r="D22" s="36"/>
      <c r="E22" s="70">
        <v>70</v>
      </c>
      <c r="F22" s="2">
        <v>0</v>
      </c>
      <c r="G22" s="2">
        <v>0</v>
      </c>
      <c r="H22" s="2">
        <v>2</v>
      </c>
      <c r="I22" s="2">
        <v>2</v>
      </c>
      <c r="J22" s="2">
        <v>0</v>
      </c>
      <c r="K22" s="2"/>
      <c r="L22" s="2"/>
      <c r="M22" s="2"/>
      <c r="N22" s="2"/>
      <c r="O22" s="2"/>
      <c r="P22" s="2"/>
      <c r="Q22" s="43">
        <f t="shared" si="0"/>
        <v>4</v>
      </c>
      <c r="R22" s="44">
        <f>Q22/P11*100</f>
        <v>40</v>
      </c>
      <c r="S22" s="123" t="s">
        <v>24</v>
      </c>
      <c r="T22" s="124">
        <v>50</v>
      </c>
      <c r="U22" s="124">
        <v>90</v>
      </c>
      <c r="V22" s="125" t="s">
        <v>171</v>
      </c>
      <c r="W22" s="120"/>
      <c r="X22" s="120"/>
      <c r="Y22" s="120"/>
      <c r="Z22" s="120"/>
      <c r="AA22" s="120"/>
      <c r="AB22" s="126"/>
      <c r="AC22" s="2" t="s">
        <v>23</v>
      </c>
      <c r="AD22" s="50">
        <v>60</v>
      </c>
      <c r="AE22" s="50">
        <v>70</v>
      </c>
      <c r="AF22" s="42" t="s">
        <v>171</v>
      </c>
      <c r="AG22" s="70" t="s">
        <v>23</v>
      </c>
      <c r="AH22" s="2">
        <v>60</v>
      </c>
      <c r="AI22" s="2">
        <v>70</v>
      </c>
      <c r="AJ22" s="42" t="s">
        <v>171</v>
      </c>
      <c r="AK22" s="32"/>
      <c r="AL22" s="110"/>
      <c r="AM22" s="110"/>
      <c r="AN22" s="33"/>
      <c r="AO22" s="70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43">
        <f t="shared" si="2"/>
        <v>0</v>
      </c>
      <c r="BB22" s="44">
        <f>BA22/AZ11*100</f>
        <v>0</v>
      </c>
      <c r="BC22" s="35" t="str">
        <f t="shared" si="3"/>
        <v>Pengayaan</v>
      </c>
      <c r="BD22" s="68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43">
        <f t="shared" si="4"/>
        <v>0</v>
      </c>
      <c r="BQ22" s="44">
        <f>BP22/BO11*100</f>
        <v>0</v>
      </c>
      <c r="BR22" s="35" t="str">
        <f t="shared" si="5"/>
        <v>Pengayaan</v>
      </c>
    </row>
    <row r="23" spans="1:83" ht="15" customHeight="1" x14ac:dyDescent="0.35">
      <c r="A23" s="45">
        <v>12</v>
      </c>
      <c r="B23" s="132" t="s">
        <v>253</v>
      </c>
      <c r="C23" s="31"/>
      <c r="D23" s="36"/>
      <c r="E23" s="70">
        <v>70</v>
      </c>
      <c r="F23" s="21">
        <v>2</v>
      </c>
      <c r="G23" s="21">
        <v>0</v>
      </c>
      <c r="H23" s="21">
        <v>0</v>
      </c>
      <c r="I23" s="21">
        <v>2</v>
      </c>
      <c r="J23" s="21">
        <v>2</v>
      </c>
      <c r="K23" s="21"/>
      <c r="L23" s="21"/>
      <c r="M23" s="21"/>
      <c r="N23" s="21"/>
      <c r="O23" s="21"/>
      <c r="P23" s="2"/>
      <c r="Q23" s="43">
        <f t="shared" si="0"/>
        <v>6</v>
      </c>
      <c r="R23" s="44">
        <f>Q23/P11*100</f>
        <v>60</v>
      </c>
      <c r="S23" s="123" t="s">
        <v>24</v>
      </c>
      <c r="T23" s="124">
        <v>85</v>
      </c>
      <c r="U23" s="124">
        <v>85</v>
      </c>
      <c r="V23" s="125" t="s">
        <v>171</v>
      </c>
      <c r="W23" s="127"/>
      <c r="X23" s="127"/>
      <c r="Y23" s="127"/>
      <c r="Z23" s="127"/>
      <c r="AA23" s="127"/>
      <c r="AB23" s="128"/>
      <c r="AC23" s="21" t="s">
        <v>23</v>
      </c>
      <c r="AD23" s="50">
        <v>40</v>
      </c>
      <c r="AE23" s="50">
        <v>70</v>
      </c>
      <c r="AF23" s="42" t="s">
        <v>171</v>
      </c>
      <c r="AG23" s="70" t="s">
        <v>24</v>
      </c>
      <c r="AH23" s="21">
        <v>100</v>
      </c>
      <c r="AI23" s="21">
        <v>100</v>
      </c>
      <c r="AJ23" s="42" t="s">
        <v>171</v>
      </c>
      <c r="AK23" s="32"/>
      <c r="AL23" s="110"/>
      <c r="AM23" s="110"/>
      <c r="AN23" s="33"/>
      <c r="AO23" s="70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"/>
      <c r="BA23" s="43">
        <f t="shared" si="2"/>
        <v>0</v>
      </c>
      <c r="BB23" s="44">
        <f>BA23/AZ11*100</f>
        <v>0</v>
      </c>
      <c r="BC23" s="35" t="str">
        <f t="shared" si="3"/>
        <v>Pengayaan</v>
      </c>
      <c r="BD23" s="68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43">
        <f t="shared" si="4"/>
        <v>0</v>
      </c>
      <c r="BQ23" s="44">
        <f>BP23/BO11*100</f>
        <v>0</v>
      </c>
      <c r="BR23" s="35" t="str">
        <f t="shared" si="5"/>
        <v>Pengayaan</v>
      </c>
    </row>
    <row r="24" spans="1:83" ht="15" customHeight="1" x14ac:dyDescent="0.35">
      <c r="A24" s="41">
        <v>13</v>
      </c>
      <c r="B24" s="132" t="s">
        <v>254</v>
      </c>
      <c r="C24" s="31"/>
      <c r="D24" s="36"/>
      <c r="E24" s="70">
        <v>70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/>
      <c r="L24" s="2"/>
      <c r="M24" s="2"/>
      <c r="N24" s="2"/>
      <c r="O24" s="2"/>
      <c r="P24" s="2"/>
      <c r="Q24" s="43">
        <f>SUM(F24:J24)</f>
        <v>10</v>
      </c>
      <c r="R24" s="44">
        <f>Q24/P11*100</f>
        <v>100</v>
      </c>
      <c r="S24" s="123" t="s">
        <v>24</v>
      </c>
      <c r="T24" s="124">
        <v>95</v>
      </c>
      <c r="U24" s="124">
        <v>95</v>
      </c>
      <c r="V24" s="125" t="s">
        <v>171</v>
      </c>
      <c r="W24" s="120"/>
      <c r="X24" s="120"/>
      <c r="Y24" s="120"/>
      <c r="Z24" s="120"/>
      <c r="AA24" s="120"/>
      <c r="AB24" s="126"/>
      <c r="AC24" s="2" t="s">
        <v>24</v>
      </c>
      <c r="AD24" s="50">
        <v>80</v>
      </c>
      <c r="AE24" s="50">
        <v>80</v>
      </c>
      <c r="AF24" s="42" t="s">
        <v>171</v>
      </c>
      <c r="AG24" s="70" t="s">
        <v>24</v>
      </c>
      <c r="AH24" s="2">
        <v>80</v>
      </c>
      <c r="AI24" s="2">
        <v>80</v>
      </c>
      <c r="AJ24" s="42" t="s">
        <v>171</v>
      </c>
      <c r="AK24" s="32"/>
      <c r="AL24" s="110"/>
      <c r="AM24" s="110"/>
      <c r="AN24" s="33"/>
      <c r="AO24" s="70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43">
        <f t="shared" si="2"/>
        <v>0</v>
      </c>
      <c r="BB24" s="44">
        <f>BA24/AZ11*100</f>
        <v>0</v>
      </c>
      <c r="BC24" s="35" t="str">
        <f t="shared" si="3"/>
        <v>Pengayaan</v>
      </c>
      <c r="BD24" s="68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43">
        <f t="shared" si="4"/>
        <v>0</v>
      </c>
      <c r="BQ24" s="44">
        <f>BP24/BO11*100</f>
        <v>0</v>
      </c>
      <c r="BR24" s="35" t="str">
        <f t="shared" si="5"/>
        <v>Pengayaan</v>
      </c>
    </row>
    <row r="25" spans="1:83" ht="15" customHeight="1" x14ac:dyDescent="0.35">
      <c r="A25" s="45">
        <v>14</v>
      </c>
      <c r="B25" s="132" t="s">
        <v>255</v>
      </c>
      <c r="C25" s="31"/>
      <c r="D25" s="36"/>
      <c r="E25" s="70">
        <v>70</v>
      </c>
      <c r="F25" s="48">
        <v>2</v>
      </c>
      <c r="G25" s="48">
        <v>2</v>
      </c>
      <c r="H25" s="48">
        <v>2</v>
      </c>
      <c r="I25" s="48">
        <v>2</v>
      </c>
      <c r="J25" s="48">
        <v>2</v>
      </c>
      <c r="K25" s="48"/>
      <c r="L25" s="48"/>
      <c r="M25" s="48"/>
      <c r="N25" s="48"/>
      <c r="O25" s="48"/>
      <c r="P25" s="2"/>
      <c r="Q25" s="43">
        <f t="shared" si="0"/>
        <v>10</v>
      </c>
      <c r="R25" s="44">
        <f>Q25/P11*100</f>
        <v>100</v>
      </c>
      <c r="S25" s="123" t="s">
        <v>24</v>
      </c>
      <c r="T25" s="124">
        <v>90</v>
      </c>
      <c r="U25" s="124">
        <v>90</v>
      </c>
      <c r="V25" s="125" t="s">
        <v>171</v>
      </c>
      <c r="W25" s="129"/>
      <c r="X25" s="129"/>
      <c r="Y25" s="129"/>
      <c r="Z25" s="129"/>
      <c r="AA25" s="129"/>
      <c r="AB25" s="130"/>
      <c r="AC25" s="48" t="s">
        <v>24</v>
      </c>
      <c r="AD25" s="50">
        <v>80</v>
      </c>
      <c r="AE25" s="50">
        <v>80</v>
      </c>
      <c r="AF25" s="42" t="s">
        <v>171</v>
      </c>
      <c r="AG25" s="70" t="s">
        <v>24</v>
      </c>
      <c r="AH25" s="48">
        <v>100</v>
      </c>
      <c r="AI25" s="48">
        <v>100</v>
      </c>
      <c r="AJ25" s="42" t="s">
        <v>171</v>
      </c>
      <c r="AK25" s="32"/>
      <c r="AL25" s="110"/>
      <c r="AM25" s="110"/>
      <c r="AN25" s="33"/>
      <c r="AO25" s="70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2"/>
      <c r="BA25" s="43">
        <f t="shared" si="2"/>
        <v>0</v>
      </c>
      <c r="BB25" s="44">
        <f>BA25/AZ11*100</f>
        <v>0</v>
      </c>
      <c r="BC25" s="35" t="str">
        <f t="shared" si="3"/>
        <v>Pengayaan</v>
      </c>
      <c r="BD25" s="69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3">
        <f t="shared" si="4"/>
        <v>0</v>
      </c>
      <c r="BQ25" s="44">
        <f>BP25/BO11*100</f>
        <v>0</v>
      </c>
      <c r="BR25" s="35" t="str">
        <f t="shared" si="5"/>
        <v>Pengayaan</v>
      </c>
    </row>
    <row r="26" spans="1:83" ht="15" customHeight="1" x14ac:dyDescent="0.35">
      <c r="A26" s="41">
        <v>15</v>
      </c>
      <c r="B26" s="132" t="s">
        <v>256</v>
      </c>
      <c r="C26" s="31"/>
      <c r="D26" s="36"/>
      <c r="E26" s="70">
        <v>70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/>
      <c r="L26" s="2"/>
      <c r="M26" s="2"/>
      <c r="N26" s="2"/>
      <c r="O26" s="2"/>
      <c r="P26" s="2"/>
      <c r="Q26" s="43">
        <f t="shared" si="0"/>
        <v>8</v>
      </c>
      <c r="R26" s="44">
        <f>Q26/P11*100</f>
        <v>80</v>
      </c>
      <c r="S26" s="123" t="s">
        <v>24</v>
      </c>
      <c r="T26" s="124">
        <v>90</v>
      </c>
      <c r="U26" s="124">
        <v>90</v>
      </c>
      <c r="V26" s="125" t="s">
        <v>171</v>
      </c>
      <c r="W26" s="120"/>
      <c r="X26" s="120"/>
      <c r="Y26" s="120"/>
      <c r="Z26" s="120"/>
      <c r="AA26" s="120"/>
      <c r="AB26" s="126"/>
      <c r="AC26" s="2" t="s">
        <v>23</v>
      </c>
      <c r="AD26" s="50">
        <v>60</v>
      </c>
      <c r="AE26" s="50">
        <v>70</v>
      </c>
      <c r="AF26" s="42" t="s">
        <v>171</v>
      </c>
      <c r="AG26" s="70" t="s">
        <v>24</v>
      </c>
      <c r="AH26" s="2">
        <v>80</v>
      </c>
      <c r="AI26" s="2">
        <v>80</v>
      </c>
      <c r="AJ26" s="42" t="s">
        <v>171</v>
      </c>
      <c r="AK26" s="32"/>
      <c r="AL26" s="110"/>
      <c r="AM26" s="110"/>
      <c r="AN26" s="33"/>
      <c r="AO26" s="70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43">
        <f t="shared" si="2"/>
        <v>0</v>
      </c>
      <c r="BB26" s="44">
        <f>BA26/AZ11*100</f>
        <v>0</v>
      </c>
      <c r="BC26" s="35" t="str">
        <f t="shared" si="3"/>
        <v>Pengayaan</v>
      </c>
      <c r="BD26" s="68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43">
        <f t="shared" si="4"/>
        <v>0</v>
      </c>
      <c r="BQ26" s="44">
        <f>BP26/BO11*100</f>
        <v>0</v>
      </c>
      <c r="BR26" s="35" t="str">
        <f t="shared" si="5"/>
        <v>Pengayaan</v>
      </c>
    </row>
    <row r="27" spans="1:83" ht="15" customHeight="1" x14ac:dyDescent="0.35">
      <c r="A27" s="45">
        <v>16</v>
      </c>
      <c r="B27" s="132" t="s">
        <v>257</v>
      </c>
      <c r="C27" s="31"/>
      <c r="D27" s="36"/>
      <c r="E27" s="70">
        <v>70</v>
      </c>
      <c r="F27" s="50">
        <v>0</v>
      </c>
      <c r="G27" s="50">
        <v>0</v>
      </c>
      <c r="H27" s="50">
        <v>0</v>
      </c>
      <c r="I27" s="50">
        <v>2</v>
      </c>
      <c r="J27" s="50">
        <v>2</v>
      </c>
      <c r="K27" s="50"/>
      <c r="L27" s="50"/>
      <c r="M27" s="50"/>
      <c r="N27" s="50"/>
      <c r="O27" s="50"/>
      <c r="P27" s="2"/>
      <c r="Q27" s="43">
        <f t="shared" si="0"/>
        <v>4</v>
      </c>
      <c r="R27" s="44">
        <f>Q27/P11*100</f>
        <v>40</v>
      </c>
      <c r="S27" s="123" t="s">
        <v>24</v>
      </c>
      <c r="T27" s="124">
        <v>85</v>
      </c>
      <c r="U27" s="124">
        <v>85</v>
      </c>
      <c r="V27" s="125" t="s">
        <v>171</v>
      </c>
      <c r="W27" s="131"/>
      <c r="X27" s="131"/>
      <c r="Y27" s="131"/>
      <c r="Z27" s="131"/>
      <c r="AA27" s="131"/>
      <c r="AB27" s="131"/>
      <c r="AC27" s="50" t="s">
        <v>23</v>
      </c>
      <c r="AD27" s="50">
        <v>60</v>
      </c>
      <c r="AE27" s="50">
        <v>70</v>
      </c>
      <c r="AF27" s="42" t="s">
        <v>171</v>
      </c>
      <c r="AG27" s="70" t="s">
        <v>24</v>
      </c>
      <c r="AH27" s="50">
        <v>100</v>
      </c>
      <c r="AI27" s="50">
        <v>100</v>
      </c>
      <c r="AJ27" s="42" t="s">
        <v>171</v>
      </c>
      <c r="AK27" s="32"/>
      <c r="AL27" s="110"/>
      <c r="AM27" s="110"/>
      <c r="AN27" s="33"/>
      <c r="AO27" s="7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2"/>
      <c r="BA27" s="43">
        <f t="shared" si="2"/>
        <v>0</v>
      </c>
      <c r="BB27" s="44">
        <f>BA27/AZ11*100</f>
        <v>0</v>
      </c>
      <c r="BC27" s="35" t="str">
        <f t="shared" si="3"/>
        <v>Pengayaan</v>
      </c>
      <c r="BD27" s="67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43">
        <f t="shared" si="4"/>
        <v>0</v>
      </c>
      <c r="BQ27" s="44">
        <f>BP27/BO11*100</f>
        <v>0</v>
      </c>
      <c r="BR27" s="35" t="str">
        <f t="shared" si="5"/>
        <v>Pengayaan</v>
      </c>
    </row>
    <row r="28" spans="1:83" ht="15" customHeight="1" x14ac:dyDescent="0.35">
      <c r="A28" s="41">
        <v>17</v>
      </c>
      <c r="B28" s="132" t="s">
        <v>258</v>
      </c>
      <c r="C28" s="31"/>
      <c r="D28" s="36"/>
      <c r="E28" s="70">
        <v>70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48"/>
      <c r="L28" s="48"/>
      <c r="M28" s="48"/>
      <c r="N28" s="48"/>
      <c r="O28" s="48"/>
      <c r="P28" s="2"/>
      <c r="Q28" s="43">
        <f t="shared" si="0"/>
        <v>10</v>
      </c>
      <c r="R28" s="44">
        <f>Q28/P11*100</f>
        <v>100</v>
      </c>
      <c r="S28" s="123" t="s">
        <v>24</v>
      </c>
      <c r="T28" s="124">
        <v>90</v>
      </c>
      <c r="U28" s="124">
        <v>90</v>
      </c>
      <c r="V28" s="125" t="s">
        <v>171</v>
      </c>
      <c r="W28" s="129"/>
      <c r="X28" s="129"/>
      <c r="Y28" s="129"/>
      <c r="Z28" s="129"/>
      <c r="AA28" s="129"/>
      <c r="AB28" s="130"/>
      <c r="AC28" s="48" t="s">
        <v>23</v>
      </c>
      <c r="AD28" s="50">
        <v>60</v>
      </c>
      <c r="AE28" s="50">
        <v>70</v>
      </c>
      <c r="AF28" s="42" t="s">
        <v>171</v>
      </c>
      <c r="AG28" s="70" t="s">
        <v>24</v>
      </c>
      <c r="AH28" s="2">
        <v>100</v>
      </c>
      <c r="AI28" s="2">
        <v>100</v>
      </c>
      <c r="AJ28" s="42" t="s">
        <v>171</v>
      </c>
      <c r="AK28" s="32"/>
      <c r="AL28" s="110"/>
      <c r="AM28" s="110"/>
      <c r="AN28" s="33"/>
      <c r="AO28" s="70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2"/>
      <c r="BA28" s="43">
        <f t="shared" si="2"/>
        <v>0</v>
      </c>
      <c r="BB28" s="44">
        <f>BA28/AZ11*100</f>
        <v>0</v>
      </c>
      <c r="BC28" s="35" t="str">
        <f t="shared" si="3"/>
        <v>Pengayaan</v>
      </c>
      <c r="BD28" s="69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3">
        <f t="shared" si="4"/>
        <v>0</v>
      </c>
      <c r="BQ28" s="44">
        <f>BP28/BO11*100</f>
        <v>0</v>
      </c>
      <c r="BR28" s="35" t="str">
        <f t="shared" si="5"/>
        <v>Pengayaan</v>
      </c>
    </row>
    <row r="29" spans="1:83" ht="15" customHeight="1" x14ac:dyDescent="0.35">
      <c r="A29" s="45">
        <v>18</v>
      </c>
      <c r="B29" s="132" t="s">
        <v>259</v>
      </c>
      <c r="C29" s="31"/>
      <c r="D29" s="36"/>
      <c r="E29" s="70">
        <v>70</v>
      </c>
      <c r="F29" s="2">
        <v>0</v>
      </c>
      <c r="G29" s="2">
        <v>2</v>
      </c>
      <c r="H29" s="2">
        <v>2</v>
      </c>
      <c r="I29" s="2">
        <v>2</v>
      </c>
      <c r="J29" s="2">
        <v>0</v>
      </c>
      <c r="K29" s="2"/>
      <c r="L29" s="2"/>
      <c r="M29" s="2"/>
      <c r="N29" s="2"/>
      <c r="O29" s="2"/>
      <c r="P29" s="2"/>
      <c r="Q29" s="43">
        <f t="shared" si="0"/>
        <v>6</v>
      </c>
      <c r="R29" s="44">
        <f>Q29/P11*100</f>
        <v>60</v>
      </c>
      <c r="S29" s="123" t="str">
        <f t="shared" ref="S29" si="6">IFERROR(IF(R29&lt;E29,"Perbaikan",IF(R29&gt;=E29,"Pengayaan","")),"")</f>
        <v>Perbaikan</v>
      </c>
      <c r="T29" s="124">
        <v>50</v>
      </c>
      <c r="U29" s="124">
        <v>70</v>
      </c>
      <c r="V29" s="125" t="s">
        <v>171</v>
      </c>
      <c r="W29" s="120"/>
      <c r="X29" s="120"/>
      <c r="Y29" s="120"/>
      <c r="Z29" s="120"/>
      <c r="AA29" s="120"/>
      <c r="AB29" s="126"/>
      <c r="AC29" s="2" t="s">
        <v>24</v>
      </c>
      <c r="AD29" s="50">
        <v>80</v>
      </c>
      <c r="AE29" s="50">
        <v>80</v>
      </c>
      <c r="AF29" s="42" t="s">
        <v>171</v>
      </c>
      <c r="AG29" s="70" t="s">
        <v>24</v>
      </c>
      <c r="AH29" s="2">
        <v>100</v>
      </c>
      <c r="AI29" s="2">
        <v>100</v>
      </c>
      <c r="AJ29" s="42" t="s">
        <v>171</v>
      </c>
      <c r="AK29" s="32"/>
      <c r="AL29" s="110"/>
      <c r="AM29" s="110"/>
      <c r="AN29" s="33"/>
      <c r="AO29" s="70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43">
        <f t="shared" si="2"/>
        <v>0</v>
      </c>
      <c r="BB29" s="44">
        <f>BA29/AZ11*100</f>
        <v>0</v>
      </c>
      <c r="BC29" s="35" t="str">
        <f t="shared" si="3"/>
        <v>Pengayaan</v>
      </c>
      <c r="BD29" s="68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43">
        <f t="shared" si="4"/>
        <v>0</v>
      </c>
      <c r="BQ29" s="44">
        <f>BP29/BO11*100</f>
        <v>0</v>
      </c>
      <c r="BR29" s="35" t="str">
        <f t="shared" si="5"/>
        <v>Pengayaan</v>
      </c>
    </row>
    <row r="30" spans="1:83" s="38" customFormat="1" ht="15" customHeight="1" x14ac:dyDescent="0.35">
      <c r="A30" s="55"/>
      <c r="B30" s="36"/>
      <c r="C30" s="36"/>
      <c r="D30" s="36"/>
      <c r="E30" s="36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6"/>
      <c r="R30" s="57"/>
      <c r="S30" s="101"/>
      <c r="T30" s="5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02"/>
      <c r="AF30" s="101"/>
      <c r="AG30" s="36"/>
      <c r="AH30" s="18"/>
      <c r="AI30" s="18"/>
      <c r="AJ30" s="18"/>
      <c r="AK30" s="37"/>
      <c r="AL30" s="37"/>
      <c r="AM30" s="37"/>
      <c r="AN30" s="37"/>
      <c r="AO30" s="36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56"/>
      <c r="BB30" s="57"/>
      <c r="BC30" s="58"/>
      <c r="BD30" s="5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56"/>
      <c r="BQ30" s="57"/>
      <c r="BR30" s="58"/>
      <c r="BS30" s="37"/>
      <c r="BT30" s="37"/>
      <c r="BU30" s="37"/>
      <c r="BV30" s="37"/>
      <c r="BY30"/>
      <c r="BZ30"/>
      <c r="CA30"/>
      <c r="CB30"/>
      <c r="CC30"/>
      <c r="CD30"/>
      <c r="CE30"/>
    </row>
    <row r="31" spans="1:83" s="38" customFormat="1" ht="15" customHeight="1" x14ac:dyDescent="0.35">
      <c r="A31" s="55"/>
      <c r="B31" s="36"/>
      <c r="C31" s="36"/>
      <c r="D31" s="36"/>
      <c r="E31" s="36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6"/>
      <c r="R31" s="57"/>
      <c r="S31" s="101"/>
      <c r="T31" s="5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02"/>
      <c r="AF31" s="101"/>
      <c r="AG31" s="36"/>
      <c r="AH31" s="18"/>
      <c r="AI31" s="18"/>
      <c r="AJ31" s="18"/>
      <c r="AK31" s="37"/>
      <c r="AL31" s="37"/>
      <c r="AM31" s="37"/>
      <c r="AN31" s="37"/>
      <c r="AO31" s="36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56"/>
      <c r="BB31" s="57"/>
      <c r="BC31" s="58"/>
      <c r="BD31" s="5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56"/>
      <c r="BQ31" s="57"/>
      <c r="BR31" s="58"/>
      <c r="BS31" s="37"/>
      <c r="BT31" s="37"/>
      <c r="BU31" s="37"/>
      <c r="BV31" s="37"/>
      <c r="BY31"/>
      <c r="BZ31"/>
      <c r="CA31"/>
      <c r="CB31"/>
      <c r="CC31"/>
      <c r="CD31"/>
      <c r="CE31"/>
    </row>
    <row r="32" spans="1:83" s="61" customFormat="1" ht="15" customHeight="1" x14ac:dyDescent="0.3">
      <c r="A32" s="59"/>
      <c r="B32" s="59" t="s">
        <v>11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 t="s">
        <v>238</v>
      </c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 t="s">
        <v>238</v>
      </c>
      <c r="AH32" s="59"/>
      <c r="AI32" s="59"/>
      <c r="AJ32" s="59"/>
      <c r="AK32" s="59"/>
      <c r="AL32" s="59"/>
      <c r="AM32" s="59"/>
      <c r="AN32" s="59"/>
      <c r="AO32" s="59"/>
      <c r="AP32" s="59"/>
      <c r="AQ32" s="59">
        <f>AI32</f>
        <v>0</v>
      </c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 t="e">
        <f>#REF!</f>
        <v>#REF!</v>
      </c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</row>
    <row r="33" spans="1:83" s="61" customFormat="1" ht="15" customHeight="1" x14ac:dyDescent="0.3">
      <c r="A33" s="59"/>
      <c r="B33" s="59" t="s">
        <v>156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 t="s">
        <v>237</v>
      </c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 t="s">
        <v>237</v>
      </c>
      <c r="AH33" s="59"/>
      <c r="AI33" s="59"/>
      <c r="AJ33" s="59"/>
      <c r="AK33" s="59"/>
      <c r="AL33" s="59"/>
      <c r="AM33" s="59"/>
      <c r="AN33" s="59"/>
      <c r="AO33" s="59"/>
      <c r="AP33" s="59"/>
      <c r="AQ33" s="59">
        <f>AI33</f>
        <v>0</v>
      </c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 t="e">
        <f>#REF!</f>
        <v>#REF!</v>
      </c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</row>
    <row r="34" spans="1:83" s="61" customFormat="1" ht="15" customHeight="1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</row>
    <row r="35" spans="1:83" s="61" customFormat="1" ht="15" customHeight="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</row>
    <row r="36" spans="1:83" s="61" customFormat="1" ht="15" customHeight="1" x14ac:dyDescent="0.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</row>
    <row r="37" spans="1:83" s="61" customFormat="1" ht="15" customHeight="1" x14ac:dyDescent="0.3">
      <c r="A37" s="59"/>
      <c r="B37" s="71" t="s">
        <v>72</v>
      </c>
      <c r="C37" s="71"/>
      <c r="D37" s="71"/>
      <c r="E37" s="71"/>
      <c r="F37" s="59"/>
      <c r="G37" s="71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71" t="s">
        <v>157</v>
      </c>
      <c r="V37" s="71"/>
      <c r="W37" s="71"/>
      <c r="X37" s="71"/>
      <c r="Y37" s="59"/>
      <c r="Z37" s="59"/>
      <c r="AA37" s="59"/>
      <c r="AB37" s="59"/>
      <c r="AC37" s="59"/>
      <c r="AD37" s="59"/>
      <c r="AE37" s="59"/>
      <c r="AF37" s="59"/>
      <c r="AG37" s="71" t="s">
        <v>157</v>
      </c>
      <c r="AH37" s="71"/>
      <c r="AI37" s="71"/>
      <c r="AJ37" s="71"/>
      <c r="AK37" s="59"/>
      <c r="AL37" s="59"/>
      <c r="AM37" s="59"/>
      <c r="AN37" s="59"/>
      <c r="AO37" s="71"/>
      <c r="AP37" s="59"/>
      <c r="AQ37" s="71">
        <f>AI37</f>
        <v>0</v>
      </c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71" t="e">
        <f>#REF!</f>
        <v>#REF!</v>
      </c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</row>
    <row r="38" spans="1:83" s="61" customFormat="1" ht="15" customHeight="1" x14ac:dyDescent="0.3">
      <c r="A38" s="59"/>
      <c r="B38" s="60" t="s">
        <v>73</v>
      </c>
      <c r="C38" s="60"/>
      <c r="D38" s="60"/>
      <c r="E38" s="60"/>
      <c r="F38" s="59"/>
      <c r="G38" s="60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60" t="s">
        <v>158</v>
      </c>
      <c r="V38" s="60"/>
      <c r="W38" s="60"/>
      <c r="X38" s="60"/>
      <c r="Y38" s="59"/>
      <c r="Z38" s="59"/>
      <c r="AA38" s="59"/>
      <c r="AB38" s="59"/>
      <c r="AC38" s="59"/>
      <c r="AD38" s="59"/>
      <c r="AE38" s="59"/>
      <c r="AF38" s="59"/>
      <c r="AG38" s="60" t="s">
        <v>158</v>
      </c>
      <c r="AH38" s="60"/>
      <c r="AI38" s="60"/>
      <c r="AJ38" s="60"/>
      <c r="AK38" s="59"/>
      <c r="AL38" s="59"/>
      <c r="AM38" s="59"/>
      <c r="AN38" s="59"/>
      <c r="AO38" s="60"/>
      <c r="AP38" s="59"/>
      <c r="AQ38" s="60">
        <f>AI38</f>
        <v>0</v>
      </c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60" t="e">
        <f>#REF!</f>
        <v>#REF!</v>
      </c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</row>
    <row r="39" spans="1:83" s="38" customFormat="1" ht="15" customHeight="1" x14ac:dyDescent="0.3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Y39"/>
      <c r="BZ39"/>
      <c r="CA39"/>
      <c r="CB39"/>
      <c r="CC39"/>
      <c r="CD39"/>
      <c r="CE39"/>
    </row>
    <row r="40" spans="1:83" s="38" customFormat="1" ht="15" customHeight="1" x14ac:dyDescent="0.3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Y40"/>
      <c r="BZ40"/>
      <c r="CA40"/>
      <c r="CB40"/>
      <c r="CC40"/>
      <c r="CD40"/>
      <c r="CE40"/>
    </row>
    <row r="41" spans="1:83" s="38" customFormat="1" ht="15" customHeight="1" x14ac:dyDescent="0.3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Y41"/>
      <c r="BZ41"/>
      <c r="CA41"/>
      <c r="CB41"/>
      <c r="CC41"/>
      <c r="CD41"/>
      <c r="CE41"/>
    </row>
    <row r="42" spans="1:83" s="38" customFormat="1" ht="14.4" customHeight="1" x14ac:dyDescent="0.3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Y42"/>
      <c r="BZ42"/>
      <c r="CA42"/>
      <c r="CB42"/>
      <c r="CC42"/>
      <c r="CD42"/>
      <c r="CE42"/>
    </row>
    <row r="43" spans="1:83" s="38" customFormat="1" ht="14.4" customHeight="1" x14ac:dyDescent="0.3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Y43"/>
      <c r="BZ43"/>
      <c r="CA43"/>
      <c r="CB43"/>
      <c r="CC43"/>
      <c r="CD43"/>
      <c r="CE43"/>
    </row>
    <row r="44" spans="1:83" s="38" customFormat="1" ht="14.4" customHeight="1" x14ac:dyDescent="0.3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Y44"/>
      <c r="BZ44"/>
      <c r="CA44"/>
      <c r="CB44"/>
      <c r="CC44"/>
      <c r="CD44"/>
      <c r="CE44"/>
    </row>
    <row r="45" spans="1:83" s="38" customFormat="1" ht="14.4" customHeight="1" x14ac:dyDescent="0.3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Y45"/>
      <c r="BZ45"/>
      <c r="CA45"/>
      <c r="CB45"/>
      <c r="CC45"/>
      <c r="CD45"/>
      <c r="CE45"/>
    </row>
    <row r="46" spans="1:83" s="38" customFormat="1" ht="14.4" customHeight="1" x14ac:dyDescent="0.3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Y46"/>
      <c r="BZ46"/>
      <c r="CA46"/>
      <c r="CB46"/>
      <c r="CC46"/>
      <c r="CD46"/>
      <c r="CE46"/>
    </row>
    <row r="47" spans="1:83" s="38" customFormat="1" ht="14.4" customHeight="1" x14ac:dyDescent="0.3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Y47"/>
      <c r="BZ47"/>
      <c r="CA47"/>
      <c r="CB47"/>
      <c r="CC47"/>
      <c r="CD47"/>
      <c r="CE47"/>
    </row>
    <row r="48" spans="1:83" s="38" customFormat="1" ht="14.4" customHeight="1" x14ac:dyDescent="0.3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Y48"/>
      <c r="BZ48"/>
      <c r="CA48"/>
      <c r="CB48"/>
      <c r="CC48"/>
      <c r="CD48"/>
      <c r="CE48"/>
    </row>
    <row r="49" spans="1:83" s="38" customFormat="1" ht="14.4" customHeight="1" x14ac:dyDescent="0.3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Y49"/>
      <c r="BZ49"/>
      <c r="CA49"/>
      <c r="CB49"/>
      <c r="CC49"/>
      <c r="CD49"/>
      <c r="CE49"/>
    </row>
    <row r="50" spans="1:83" s="37" customFormat="1" ht="14.4" customHeight="1" x14ac:dyDescent="0.35">
      <c r="BW50" s="38"/>
      <c r="BX50" s="38"/>
      <c r="BY50"/>
      <c r="BZ50"/>
      <c r="CA50"/>
      <c r="CB50"/>
      <c r="CC50"/>
      <c r="CD50"/>
      <c r="CE50"/>
    </row>
    <row r="51" spans="1:83" s="37" customFormat="1" ht="14.4" customHeight="1" x14ac:dyDescent="0.35">
      <c r="BW51" s="38"/>
      <c r="BX51" s="38"/>
      <c r="BY51"/>
      <c r="BZ51"/>
      <c r="CA51"/>
      <c r="CB51"/>
      <c r="CC51"/>
      <c r="CD51"/>
      <c r="CE51"/>
    </row>
    <row r="52" spans="1:83" s="37" customFormat="1" ht="14.4" customHeight="1" x14ac:dyDescent="0.35">
      <c r="BW52" s="38"/>
      <c r="BX52" s="38"/>
      <c r="BY52"/>
      <c r="BZ52"/>
      <c r="CA52"/>
      <c r="CB52"/>
      <c r="CC52"/>
      <c r="CD52"/>
      <c r="CE52"/>
    </row>
    <row r="53" spans="1:83" s="37" customFormat="1" ht="14.4" customHeight="1" x14ac:dyDescent="0.35">
      <c r="BW53" s="38"/>
      <c r="BX53" s="38"/>
      <c r="BY53"/>
      <c r="BZ53"/>
      <c r="CA53"/>
      <c r="CB53"/>
      <c r="CC53"/>
      <c r="CD53"/>
      <c r="CE53"/>
    </row>
    <row r="54" spans="1:83" s="37" customFormat="1" ht="14.4" customHeight="1" x14ac:dyDescent="0.35">
      <c r="BW54" s="38"/>
      <c r="BX54" s="38"/>
      <c r="BY54"/>
      <c r="BZ54"/>
      <c r="CA54"/>
      <c r="CB54"/>
      <c r="CC54"/>
      <c r="CD54"/>
      <c r="CE54"/>
    </row>
    <row r="55" spans="1:83" s="37" customFormat="1" ht="14.4" customHeight="1" x14ac:dyDescent="0.35">
      <c r="BW55" s="38"/>
      <c r="BX55" s="38"/>
      <c r="BY55"/>
      <c r="BZ55"/>
      <c r="CA55"/>
      <c r="CB55"/>
      <c r="CC55"/>
      <c r="CD55"/>
      <c r="CE55"/>
    </row>
    <row r="56" spans="1:83" s="37" customFormat="1" ht="14.4" customHeight="1" x14ac:dyDescent="0.35">
      <c r="BW56" s="38"/>
      <c r="BX56" s="38"/>
      <c r="BY56"/>
      <c r="BZ56"/>
      <c r="CA56"/>
      <c r="CB56"/>
      <c r="CC56"/>
      <c r="CD56"/>
      <c r="CE56"/>
    </row>
    <row r="57" spans="1:83" s="37" customFormat="1" ht="14.4" customHeight="1" x14ac:dyDescent="0.35">
      <c r="BW57" s="38"/>
      <c r="BX57" s="38"/>
      <c r="BY57"/>
      <c r="BZ57"/>
      <c r="CA57"/>
      <c r="CB57"/>
      <c r="CC57"/>
      <c r="CD57"/>
      <c r="CE57"/>
    </row>
    <row r="58" spans="1:83" s="37" customFormat="1" ht="14.4" customHeight="1" x14ac:dyDescent="0.35">
      <c r="BW58" s="38"/>
      <c r="BX58" s="38"/>
      <c r="BY58"/>
      <c r="BZ58"/>
      <c r="CA58"/>
      <c r="CB58"/>
      <c r="CC58"/>
      <c r="CD58"/>
      <c r="CE58"/>
    </row>
    <row r="59" spans="1:83" s="37" customFormat="1" ht="14.4" customHeight="1" x14ac:dyDescent="0.35">
      <c r="BW59" s="38"/>
      <c r="BX59" s="38"/>
      <c r="BY59"/>
      <c r="BZ59"/>
      <c r="CA59"/>
      <c r="CB59"/>
      <c r="CC59"/>
      <c r="CD59"/>
      <c r="CE59"/>
    </row>
    <row r="60" spans="1:83" s="37" customFormat="1" ht="14.4" customHeight="1" x14ac:dyDescent="0.35">
      <c r="BW60" s="38"/>
      <c r="BX60" s="38"/>
      <c r="BY60"/>
      <c r="BZ60"/>
      <c r="CA60"/>
      <c r="CB60"/>
      <c r="CC60"/>
      <c r="CD60"/>
      <c r="CE60"/>
    </row>
    <row r="61" spans="1:83" s="37" customFormat="1" ht="14.4" customHeight="1" x14ac:dyDescent="0.35">
      <c r="BW61" s="38"/>
      <c r="BX61" s="38"/>
      <c r="BY61"/>
      <c r="BZ61"/>
      <c r="CA61"/>
      <c r="CB61"/>
      <c r="CC61"/>
      <c r="CD61"/>
      <c r="CE61"/>
    </row>
    <row r="62" spans="1:83" s="37" customFormat="1" ht="14.4" customHeight="1" x14ac:dyDescent="0.35">
      <c r="BW62" s="38"/>
      <c r="BX62" s="38"/>
      <c r="BY62"/>
      <c r="BZ62"/>
      <c r="CA62"/>
      <c r="CB62"/>
      <c r="CC62"/>
      <c r="CD62"/>
      <c r="CE62"/>
    </row>
    <row r="63" spans="1:83" s="37" customFormat="1" ht="14.4" customHeight="1" x14ac:dyDescent="0.35">
      <c r="BW63" s="38"/>
      <c r="BX63" s="38"/>
      <c r="BY63"/>
      <c r="BZ63"/>
      <c r="CA63"/>
      <c r="CB63"/>
      <c r="CC63"/>
      <c r="CD63"/>
      <c r="CE63"/>
    </row>
    <row r="64" spans="1:83" s="37" customFormat="1" ht="15.75" customHeight="1" x14ac:dyDescent="0.35">
      <c r="BW64" s="38"/>
      <c r="BX64" s="38"/>
      <c r="BY64"/>
      <c r="BZ64"/>
      <c r="CA64"/>
      <c r="CB64"/>
      <c r="CC64"/>
      <c r="CD64"/>
      <c r="CE64"/>
    </row>
    <row r="65" spans="75:83" s="37" customFormat="1" ht="15.75" customHeight="1" x14ac:dyDescent="0.35">
      <c r="BW65" s="38"/>
      <c r="BX65" s="38"/>
      <c r="BY65"/>
      <c r="BZ65"/>
      <c r="CA65"/>
      <c r="CB65"/>
      <c r="CC65"/>
      <c r="CD65"/>
      <c r="CE65"/>
    </row>
    <row r="66" spans="75:83" s="37" customFormat="1" ht="15.75" customHeight="1" x14ac:dyDescent="0.35">
      <c r="BW66" s="38"/>
      <c r="BX66" s="38"/>
      <c r="BY66"/>
      <c r="BZ66"/>
      <c r="CA66"/>
      <c r="CB66"/>
      <c r="CC66"/>
      <c r="CD66"/>
      <c r="CE66"/>
    </row>
    <row r="67" spans="75:83" s="37" customFormat="1" ht="15.75" customHeight="1" x14ac:dyDescent="0.35">
      <c r="BW67" s="38"/>
      <c r="BX67" s="38"/>
      <c r="BY67"/>
      <c r="BZ67"/>
      <c r="CA67"/>
      <c r="CB67"/>
      <c r="CC67"/>
      <c r="CD67"/>
      <c r="CE67"/>
    </row>
    <row r="68" spans="75:83" s="37" customFormat="1" ht="15.75" customHeight="1" x14ac:dyDescent="0.35">
      <c r="BW68" s="38"/>
      <c r="BX68" s="38"/>
      <c r="BY68"/>
      <c r="BZ68"/>
      <c r="CA68"/>
      <c r="CB68"/>
      <c r="CC68"/>
      <c r="CD68"/>
      <c r="CE68"/>
    </row>
    <row r="69" spans="75:83" s="37" customFormat="1" ht="15.75" customHeight="1" x14ac:dyDescent="0.35">
      <c r="BW69" s="38"/>
      <c r="BX69" s="38"/>
      <c r="BY69"/>
      <c r="BZ69"/>
      <c r="CA69"/>
      <c r="CB69"/>
      <c r="CC69"/>
      <c r="CD69"/>
      <c r="CE69"/>
    </row>
    <row r="70" spans="75:83" s="37" customFormat="1" ht="15.75" customHeight="1" x14ac:dyDescent="0.35">
      <c r="BW70" s="38"/>
      <c r="BX70" s="38"/>
      <c r="BY70"/>
      <c r="BZ70"/>
      <c r="CA70"/>
      <c r="CB70"/>
      <c r="CC70"/>
      <c r="CD70"/>
      <c r="CE70"/>
    </row>
    <row r="71" spans="75:83" s="37" customFormat="1" ht="15.75" customHeight="1" x14ac:dyDescent="0.35">
      <c r="BW71" s="38"/>
      <c r="BX71" s="38"/>
      <c r="BY71"/>
      <c r="BZ71"/>
      <c r="CA71"/>
      <c r="CB71"/>
      <c r="CC71"/>
      <c r="CD71"/>
      <c r="CE71"/>
    </row>
    <row r="72" spans="75:83" s="37" customFormat="1" ht="15.75" customHeight="1" x14ac:dyDescent="0.35">
      <c r="BW72" s="38"/>
      <c r="BX72" s="38"/>
      <c r="BY72"/>
      <c r="BZ72"/>
      <c r="CA72"/>
      <c r="CB72"/>
      <c r="CC72"/>
      <c r="CD72"/>
      <c r="CE72"/>
    </row>
    <row r="73" spans="75:83" s="37" customFormat="1" ht="15.75" customHeight="1" x14ac:dyDescent="0.35">
      <c r="BW73" s="38"/>
      <c r="BX73" s="38"/>
      <c r="BY73"/>
      <c r="BZ73"/>
      <c r="CA73"/>
      <c r="CB73"/>
      <c r="CC73"/>
      <c r="CD73"/>
      <c r="CE73"/>
    </row>
    <row r="74" spans="75:83" s="37" customFormat="1" ht="15.75" customHeight="1" x14ac:dyDescent="0.35">
      <c r="BW74" s="38"/>
      <c r="BX74" s="38"/>
      <c r="BY74"/>
      <c r="BZ74"/>
      <c r="CA74"/>
      <c r="CB74"/>
      <c r="CC74"/>
      <c r="CD74"/>
      <c r="CE74"/>
    </row>
    <row r="75" spans="75:83" s="37" customFormat="1" ht="15.75" customHeight="1" x14ac:dyDescent="0.35">
      <c r="BW75" s="38"/>
      <c r="BX75" s="38"/>
      <c r="BY75"/>
      <c r="BZ75"/>
      <c r="CA75"/>
      <c r="CB75"/>
      <c r="CC75"/>
      <c r="CD75"/>
      <c r="CE75"/>
    </row>
    <row r="76" spans="75:83" s="37" customFormat="1" ht="15.75" customHeight="1" x14ac:dyDescent="0.35">
      <c r="BW76" s="38"/>
      <c r="BX76" s="38"/>
      <c r="BY76"/>
      <c r="BZ76"/>
      <c r="CA76"/>
      <c r="CB76"/>
      <c r="CC76"/>
      <c r="CD76"/>
      <c r="CE76"/>
    </row>
    <row r="77" spans="75:83" s="37" customFormat="1" ht="15.75" customHeight="1" x14ac:dyDescent="0.35">
      <c r="BW77" s="38"/>
      <c r="BX77" s="38"/>
      <c r="BY77"/>
      <c r="BZ77"/>
      <c r="CA77"/>
      <c r="CB77"/>
      <c r="CC77"/>
      <c r="CD77"/>
      <c r="CE77"/>
    </row>
    <row r="78" spans="75:83" s="37" customFormat="1" ht="15.75" customHeight="1" x14ac:dyDescent="0.35">
      <c r="BW78" s="38"/>
      <c r="BX78" s="38"/>
      <c r="BY78"/>
      <c r="BZ78"/>
      <c r="CA78"/>
      <c r="CB78"/>
      <c r="CC78"/>
      <c r="CD78"/>
      <c r="CE78"/>
    </row>
    <row r="79" spans="75:83" s="37" customFormat="1" ht="15.75" customHeight="1" x14ac:dyDescent="0.35">
      <c r="BW79" s="38"/>
      <c r="BX79" s="38"/>
      <c r="BY79"/>
      <c r="BZ79"/>
      <c r="CA79"/>
      <c r="CB79"/>
      <c r="CC79"/>
      <c r="CD79"/>
      <c r="CE79"/>
    </row>
    <row r="80" spans="75:83" s="37" customFormat="1" ht="15.75" customHeight="1" x14ac:dyDescent="0.35">
      <c r="BW80" s="38"/>
      <c r="BX80" s="38"/>
      <c r="BY80"/>
      <c r="BZ80"/>
      <c r="CA80"/>
      <c r="CB80"/>
      <c r="CC80"/>
      <c r="CD80"/>
      <c r="CE80"/>
    </row>
    <row r="81" spans="75:83" s="37" customFormat="1" ht="15.75" customHeight="1" x14ac:dyDescent="0.35">
      <c r="BW81" s="38"/>
      <c r="BX81" s="38"/>
      <c r="BY81"/>
      <c r="BZ81"/>
      <c r="CA81"/>
      <c r="CB81"/>
      <c r="CC81"/>
      <c r="CD81"/>
      <c r="CE81"/>
    </row>
    <row r="82" spans="75:83" s="37" customFormat="1" ht="15.75" customHeight="1" x14ac:dyDescent="0.35">
      <c r="BW82" s="38"/>
      <c r="BX82" s="38"/>
      <c r="BY82"/>
      <c r="BZ82"/>
      <c r="CA82"/>
      <c r="CB82"/>
      <c r="CC82"/>
      <c r="CD82"/>
      <c r="CE82"/>
    </row>
    <row r="83" spans="75:83" s="37" customFormat="1" ht="15.75" customHeight="1" x14ac:dyDescent="0.35">
      <c r="BW83" s="38"/>
      <c r="BX83" s="38"/>
      <c r="BY83"/>
      <c r="BZ83"/>
      <c r="CA83"/>
      <c r="CB83"/>
      <c r="CC83"/>
      <c r="CD83"/>
      <c r="CE83"/>
    </row>
    <row r="84" spans="75:83" s="37" customFormat="1" ht="15.75" customHeight="1" x14ac:dyDescent="0.35">
      <c r="BW84" s="38"/>
      <c r="BX84" s="38"/>
      <c r="BY84"/>
      <c r="BZ84"/>
      <c r="CA84"/>
      <c r="CB84"/>
      <c r="CC84"/>
      <c r="CD84"/>
      <c r="CE84"/>
    </row>
    <row r="85" spans="75:83" s="37" customFormat="1" ht="15.75" customHeight="1" x14ac:dyDescent="0.35">
      <c r="BW85" s="38"/>
      <c r="BX85" s="38"/>
      <c r="BY85"/>
      <c r="BZ85"/>
      <c r="CA85"/>
      <c r="CB85"/>
      <c r="CC85"/>
      <c r="CD85"/>
      <c r="CE85"/>
    </row>
    <row r="86" spans="75:83" s="37" customFormat="1" ht="15.75" customHeight="1" x14ac:dyDescent="0.35">
      <c r="BW86" s="38"/>
      <c r="BX86" s="38"/>
      <c r="BY86"/>
      <c r="BZ86"/>
      <c r="CA86"/>
      <c r="CB86"/>
      <c r="CC86"/>
      <c r="CD86"/>
      <c r="CE86"/>
    </row>
    <row r="87" spans="75:83" s="37" customFormat="1" ht="15.75" customHeight="1" x14ac:dyDescent="0.35">
      <c r="BW87" s="38"/>
      <c r="BX87" s="38"/>
      <c r="BY87"/>
      <c r="BZ87"/>
      <c r="CA87"/>
      <c r="CB87"/>
      <c r="CC87"/>
      <c r="CD87"/>
      <c r="CE87"/>
    </row>
    <row r="88" spans="75:83" s="37" customFormat="1" ht="15.75" customHeight="1" x14ac:dyDescent="0.35">
      <c r="BW88" s="38"/>
      <c r="BX88" s="38"/>
      <c r="BY88"/>
      <c r="BZ88"/>
      <c r="CA88"/>
      <c r="CB88"/>
      <c r="CC88"/>
      <c r="CD88"/>
      <c r="CE88"/>
    </row>
    <row r="89" spans="75:83" s="37" customFormat="1" ht="15.75" customHeight="1" x14ac:dyDescent="0.35">
      <c r="BW89" s="38"/>
      <c r="BX89" s="38"/>
      <c r="BY89"/>
      <c r="BZ89"/>
      <c r="CA89"/>
      <c r="CB89"/>
      <c r="CC89"/>
      <c r="CD89"/>
      <c r="CE89"/>
    </row>
  </sheetData>
  <mergeCells count="38">
    <mergeCell ref="F1:AF1"/>
    <mergeCell ref="AH1:AJ1"/>
    <mergeCell ref="AP1:BR1"/>
    <mergeCell ref="F2:AF2"/>
    <mergeCell ref="AH2:AJ2"/>
    <mergeCell ref="AP2:BR2"/>
    <mergeCell ref="AO8:BC8"/>
    <mergeCell ref="BD8:BR8"/>
    <mergeCell ref="E9:E11"/>
    <mergeCell ref="Q9:Q10"/>
    <mergeCell ref="R9:R10"/>
    <mergeCell ref="S9:S11"/>
    <mergeCell ref="AE9:AE11"/>
    <mergeCell ref="A8:A10"/>
    <mergeCell ref="B8:B10"/>
    <mergeCell ref="S8:V8"/>
    <mergeCell ref="AC8:AF8"/>
    <mergeCell ref="T9:T11"/>
    <mergeCell ref="U9:U11"/>
    <mergeCell ref="V9:V11"/>
    <mergeCell ref="AC9:AC11"/>
    <mergeCell ref="AD9:AD11"/>
    <mergeCell ref="BR9:BR10"/>
    <mergeCell ref="F10:O10"/>
    <mergeCell ref="AP10:AY10"/>
    <mergeCell ref="BE10:BN10"/>
    <mergeCell ref="BA9:BA10"/>
    <mergeCell ref="BB9:BB10"/>
    <mergeCell ref="BC9:BC10"/>
    <mergeCell ref="BD9:BD11"/>
    <mergeCell ref="BP9:BP10"/>
    <mergeCell ref="BQ9:BQ10"/>
    <mergeCell ref="AF9:AF11"/>
    <mergeCell ref="AG9:AG11"/>
    <mergeCell ref="AH9:AH11"/>
    <mergeCell ref="AI9:AI11"/>
    <mergeCell ref="AJ9:AJ11"/>
    <mergeCell ref="AO9:AO11"/>
  </mergeCells>
  <pageMargins left="0.62992125984251968" right="0.19685039370078741" top="0.74803149606299213" bottom="1.3385826771653544" header="0.31496062992125984" footer="0.31496062992125984"/>
  <pageSetup paperSize="14" scale="8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4A77-78D4-466E-BB3E-18D5161AFA2E}">
  <dimension ref="A1:CE88"/>
  <sheetViews>
    <sheetView zoomScaleNormal="100" workbookViewId="0">
      <selection activeCell="AB30" sqref="AB30"/>
    </sheetView>
  </sheetViews>
  <sheetFormatPr defaultRowHeight="14.5" x14ac:dyDescent="0.35"/>
  <cols>
    <col min="1" max="1" width="3.81640625" style="37" customWidth="1"/>
    <col min="2" max="2" width="35.26953125" style="37" customWidth="1"/>
    <col min="3" max="3" width="1.90625" style="37" customWidth="1"/>
    <col min="4" max="4" width="0.81640625" style="37" customWidth="1"/>
    <col min="5" max="5" width="3" style="37" hidden="1" customWidth="1"/>
    <col min="6" max="15" width="2.6328125" style="37" hidden="1" customWidth="1"/>
    <col min="16" max="16" width="3.08984375" style="37" hidden="1" customWidth="1"/>
    <col min="17" max="17" width="3.6328125" style="37" hidden="1" customWidth="1"/>
    <col min="18" max="18" width="4.1796875" style="37" hidden="1" customWidth="1"/>
    <col min="19" max="19" width="16.6328125" style="37" customWidth="1"/>
    <col min="20" max="20" width="13.54296875" style="37" customWidth="1"/>
    <col min="21" max="21" width="15.7265625" style="37" customWidth="1"/>
    <col min="22" max="22" width="18.1796875" style="37" customWidth="1"/>
    <col min="23" max="27" width="2.6328125" style="37" hidden="1" customWidth="1"/>
    <col min="28" max="28" width="11.81640625" style="37" customWidth="1"/>
    <col min="29" max="29" width="8" style="37" hidden="1" customWidth="1"/>
    <col min="30" max="30" width="3.6328125" style="37" hidden="1" customWidth="1"/>
    <col min="31" max="31" width="4.90625" style="37" hidden="1" customWidth="1"/>
    <col min="32" max="32" width="7.1796875" style="37" hidden="1" customWidth="1"/>
    <col min="33" max="33" width="6.26953125" style="37" hidden="1" customWidth="1"/>
    <col min="34" max="34" width="6" style="37" hidden="1" customWidth="1"/>
    <col min="35" max="35" width="6.90625" style="37" hidden="1" customWidth="1"/>
    <col min="36" max="36" width="9" style="37" hidden="1" customWidth="1"/>
    <col min="37" max="39" width="1.1796875" style="37" customWidth="1"/>
    <col min="40" max="40" width="35.36328125" style="37" customWidth="1"/>
    <col min="41" max="41" width="3" style="37" customWidth="1"/>
    <col min="42" max="51" width="2.6328125" style="37" customWidth="1"/>
    <col min="52" max="52" width="2.453125" style="37" hidden="1" customWidth="1"/>
    <col min="53" max="53" width="3.6328125" style="37" customWidth="1"/>
    <col min="54" max="54" width="4.1796875" style="37" customWidth="1"/>
    <col min="55" max="55" width="7.1796875" style="37" customWidth="1"/>
    <col min="56" max="56" width="3" style="37" customWidth="1"/>
    <col min="57" max="66" width="2.6328125" style="37" customWidth="1"/>
    <col min="67" max="67" width="2.453125" style="37" hidden="1" customWidth="1"/>
    <col min="68" max="68" width="3.6328125" style="37" customWidth="1"/>
    <col min="69" max="69" width="4.1796875" style="37" customWidth="1"/>
    <col min="70" max="70" width="7.1796875" style="37" customWidth="1"/>
    <col min="71" max="71" width="1.453125" style="37" customWidth="1"/>
    <col min="72" max="72" width="3.90625" style="37" customWidth="1"/>
    <col min="73" max="74" width="2.6328125" style="37" customWidth="1"/>
    <col min="75" max="76" width="2.6328125" style="38" customWidth="1"/>
    <col min="77" max="77" width="2.6328125" customWidth="1"/>
  </cols>
  <sheetData>
    <row r="1" spans="1:74" s="61" customFormat="1" ht="15" customHeight="1" x14ac:dyDescent="0.3">
      <c r="A1" s="60"/>
      <c r="B1" s="60"/>
      <c r="C1" s="60"/>
      <c r="D1" s="60"/>
      <c r="E1" s="60"/>
      <c r="F1" s="156" t="s">
        <v>167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60"/>
      <c r="AH1" s="157" t="str">
        <f>F1</f>
        <v>PROGRAM REMEDIAL DAN PENGAYAAN</v>
      </c>
      <c r="AI1" s="157"/>
      <c r="AJ1" s="157"/>
      <c r="AK1" s="59"/>
      <c r="AL1" s="59"/>
      <c r="AM1" s="59"/>
      <c r="AN1" s="59"/>
      <c r="AO1" s="60"/>
      <c r="AP1" s="156" t="str">
        <f>AH1</f>
        <v>PROGRAM REMEDIAL DAN PENGAYAAN</v>
      </c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59"/>
      <c r="BT1" s="59"/>
      <c r="BU1" s="59"/>
      <c r="BV1" s="59"/>
    </row>
    <row r="2" spans="1:74" s="61" customFormat="1" ht="15" customHeight="1" x14ac:dyDescent="0.3">
      <c r="A2" s="62"/>
      <c r="B2" s="62"/>
      <c r="C2" s="62"/>
      <c r="D2" s="62"/>
      <c r="E2" s="62"/>
      <c r="F2" s="158" t="s">
        <v>235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62"/>
      <c r="AH2" s="159" t="str">
        <f>F2</f>
        <v>TAHUN PELAJARAN 2025 /  2026</v>
      </c>
      <c r="AI2" s="159"/>
      <c r="AJ2" s="159"/>
      <c r="AK2" s="62"/>
      <c r="AL2" s="62"/>
      <c r="AM2" s="62"/>
      <c r="AN2" s="62"/>
      <c r="AO2" s="62"/>
      <c r="AP2" s="158" t="str">
        <f>AH2</f>
        <v>TAHUN PELAJARAN 2025 /  2026</v>
      </c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59"/>
      <c r="BT2" s="59"/>
      <c r="BU2" s="59"/>
      <c r="BV2" s="59"/>
    </row>
    <row r="3" spans="1:74" s="61" customFormat="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93"/>
      <c r="AI3" s="93"/>
      <c r="AJ3" s="93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59"/>
      <c r="BT3" s="59"/>
      <c r="BU3" s="59"/>
      <c r="BV3" s="59"/>
    </row>
    <row r="4" spans="1:74" s="61" customFormat="1" ht="15" customHeight="1" x14ac:dyDescent="0.3">
      <c r="A4" s="1"/>
      <c r="B4" s="1"/>
      <c r="C4" s="1"/>
      <c r="D4" s="1"/>
      <c r="E4" s="1"/>
      <c r="F4" s="1"/>
      <c r="G4" s="1"/>
      <c r="H4" s="1" t="s">
        <v>5</v>
      </c>
      <c r="I4" s="1" t="s">
        <v>282</v>
      </c>
      <c r="J4" s="1"/>
      <c r="K4" s="1"/>
      <c r="L4" s="1"/>
      <c r="M4" s="1"/>
      <c r="N4" s="1"/>
      <c r="O4" s="1"/>
      <c r="P4" s="1"/>
      <c r="Q4" s="1"/>
      <c r="R4" s="1"/>
      <c r="S4" s="1" t="s">
        <v>0</v>
      </c>
      <c r="T4" s="1" t="s">
        <v>286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93" t="s">
        <v>0</v>
      </c>
      <c r="AI4" s="93"/>
      <c r="AJ4" s="93"/>
      <c r="AK4" s="1"/>
      <c r="AL4" s="1"/>
      <c r="AM4" s="1"/>
      <c r="AN4" s="1"/>
      <c r="AO4" s="1"/>
      <c r="AP4" s="1" t="s">
        <v>0</v>
      </c>
      <c r="AQ4" s="1"/>
      <c r="AR4" s="1"/>
      <c r="AS4" s="1"/>
      <c r="AT4" s="1"/>
      <c r="AU4" s="1"/>
      <c r="AV4" s="1" t="s">
        <v>5</v>
      </c>
      <c r="AW4" s="1" t="e">
        <f>#REF!</f>
        <v>#REF!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59"/>
      <c r="BT4" s="59"/>
      <c r="BU4" s="59"/>
      <c r="BV4" s="59"/>
    </row>
    <row r="5" spans="1:74" s="61" customFormat="1" ht="15" customHeight="1" x14ac:dyDescent="0.3">
      <c r="A5" s="1"/>
      <c r="B5" s="1"/>
      <c r="C5" s="1"/>
      <c r="D5" s="1"/>
      <c r="E5" s="1"/>
      <c r="F5" s="1"/>
      <c r="G5" s="1"/>
      <c r="H5" s="1" t="s">
        <v>5</v>
      </c>
      <c r="I5" s="1">
        <f>'oke Lingk. 1'!L5</f>
        <v>0</v>
      </c>
      <c r="J5" s="1"/>
      <c r="K5" s="1"/>
      <c r="L5" s="1"/>
      <c r="M5" s="1"/>
      <c r="N5" s="1"/>
      <c r="O5" s="1"/>
      <c r="P5" s="1"/>
      <c r="Q5" s="1"/>
      <c r="R5" s="1"/>
      <c r="S5" s="1" t="s">
        <v>20</v>
      </c>
      <c r="T5" s="1" t="s">
        <v>173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93" t="s">
        <v>20</v>
      </c>
      <c r="AI5" s="93"/>
      <c r="AJ5" s="93"/>
      <c r="AK5" s="1"/>
      <c r="AL5" s="1"/>
      <c r="AM5" s="1"/>
      <c r="AN5" s="1"/>
      <c r="AO5" s="1"/>
      <c r="AP5" s="1" t="s">
        <v>20</v>
      </c>
      <c r="AQ5" s="1"/>
      <c r="AR5" s="1"/>
      <c r="AS5" s="1"/>
      <c r="AT5" s="1"/>
      <c r="AU5" s="1"/>
      <c r="AV5" s="1" t="s">
        <v>5</v>
      </c>
      <c r="AW5" s="1" t="e">
        <f>#REF!</f>
        <v>#REF!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59"/>
      <c r="BT5" s="59"/>
      <c r="BU5" s="59"/>
      <c r="BV5" s="59"/>
    </row>
    <row r="6" spans="1:74" s="61" customFormat="1" ht="15" customHeight="1" x14ac:dyDescent="0.3">
      <c r="A6" s="1"/>
      <c r="B6" s="1"/>
      <c r="C6" s="1"/>
      <c r="D6" s="1"/>
      <c r="E6" s="1"/>
      <c r="F6" s="1"/>
      <c r="G6" s="1"/>
      <c r="H6" s="1" t="s">
        <v>5</v>
      </c>
      <c r="I6" s="1" t="s">
        <v>261</v>
      </c>
      <c r="J6" s="1"/>
      <c r="K6" s="1"/>
      <c r="L6" s="1"/>
      <c r="M6" s="1"/>
      <c r="N6" s="1"/>
      <c r="O6" s="1"/>
      <c r="P6" s="1"/>
      <c r="Q6" s="1"/>
      <c r="R6" s="1"/>
      <c r="S6" s="1" t="s">
        <v>260</v>
      </c>
      <c r="T6" s="1" t="s">
        <v>285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93" t="s">
        <v>76</v>
      </c>
      <c r="AI6" s="93"/>
      <c r="AJ6" s="93"/>
      <c r="AK6" s="1"/>
      <c r="AL6" s="1"/>
      <c r="AM6" s="1"/>
      <c r="AN6" s="1"/>
      <c r="AO6" s="1"/>
      <c r="AP6" s="1" t="s">
        <v>76</v>
      </c>
      <c r="AQ6" s="1"/>
      <c r="AR6" s="1"/>
      <c r="AS6" s="1"/>
      <c r="AT6" s="1"/>
      <c r="AU6" s="1"/>
      <c r="AV6" s="1" t="s">
        <v>67</v>
      </c>
      <c r="AW6" s="1" t="e" cm="1">
        <f t="array" ref="AW6">S6T6</f>
        <v>#NAME?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59"/>
      <c r="BT6" s="59"/>
      <c r="BU6" s="59"/>
      <c r="BV6" s="59"/>
    </row>
    <row r="7" spans="1:74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0"/>
      <c r="BI7" s="39"/>
      <c r="BJ7" s="39"/>
      <c r="BK7" s="39"/>
      <c r="BL7" s="39"/>
      <c r="BM7" s="39"/>
      <c r="BN7" s="39"/>
      <c r="BO7" s="39"/>
      <c r="BP7" s="39"/>
      <c r="BQ7" s="39"/>
      <c r="BR7" s="39"/>
    </row>
    <row r="8" spans="1:74" ht="17.399999999999999" customHeight="1" x14ac:dyDescent="0.35">
      <c r="A8" s="138" t="s">
        <v>1</v>
      </c>
      <c r="B8" s="138" t="s">
        <v>2</v>
      </c>
      <c r="C8" s="28"/>
      <c r="D8" s="65"/>
      <c r="E8" s="99" t="s">
        <v>110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150" t="s">
        <v>283</v>
      </c>
      <c r="T8" s="136"/>
      <c r="U8" s="136"/>
      <c r="V8" s="137"/>
      <c r="W8" s="72"/>
      <c r="X8" s="72"/>
      <c r="Y8" s="72"/>
      <c r="Z8" s="72"/>
      <c r="AA8" s="72"/>
      <c r="AB8" s="114"/>
      <c r="AC8" s="151" t="s">
        <v>263</v>
      </c>
      <c r="AD8" s="151"/>
      <c r="AE8" s="151"/>
      <c r="AF8" s="152"/>
      <c r="AG8" s="99" t="s">
        <v>264</v>
      </c>
      <c r="AH8" s="72"/>
      <c r="AI8" s="72"/>
      <c r="AJ8" s="72"/>
      <c r="AK8" s="22"/>
      <c r="AL8" s="111"/>
      <c r="AM8" s="111"/>
      <c r="AN8" s="23"/>
      <c r="AO8" s="135" t="s">
        <v>75</v>
      </c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7"/>
      <c r="BD8" s="135" t="s">
        <v>75</v>
      </c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7"/>
    </row>
    <row r="9" spans="1:74" ht="17.399999999999999" customHeight="1" x14ac:dyDescent="0.35">
      <c r="A9" s="149"/>
      <c r="B9" s="149"/>
      <c r="C9" s="28"/>
      <c r="D9" s="65"/>
      <c r="E9" s="140" t="s">
        <v>77</v>
      </c>
      <c r="F9" s="63">
        <v>1</v>
      </c>
      <c r="G9" s="63">
        <v>2</v>
      </c>
      <c r="H9" s="63">
        <v>3</v>
      </c>
      <c r="I9" s="63">
        <v>4</v>
      </c>
      <c r="J9" s="63">
        <v>5</v>
      </c>
      <c r="K9" s="63">
        <v>6</v>
      </c>
      <c r="L9" s="63">
        <v>7</v>
      </c>
      <c r="M9" s="63">
        <v>8</v>
      </c>
      <c r="N9" s="63">
        <v>9</v>
      </c>
      <c r="O9" s="63">
        <v>10</v>
      </c>
      <c r="P9" s="20"/>
      <c r="Q9" s="138" t="s">
        <v>71</v>
      </c>
      <c r="R9" s="133" t="s">
        <v>3</v>
      </c>
      <c r="S9" s="153" t="s">
        <v>172</v>
      </c>
      <c r="T9" s="146" t="s">
        <v>168</v>
      </c>
      <c r="U9" s="146" t="s">
        <v>169</v>
      </c>
      <c r="V9" s="146" t="s">
        <v>170</v>
      </c>
      <c r="W9" s="115">
        <v>6</v>
      </c>
      <c r="X9" s="115">
        <v>7</v>
      </c>
      <c r="Y9" s="115">
        <v>8</v>
      </c>
      <c r="Z9" s="115">
        <v>9</v>
      </c>
      <c r="AA9" s="115">
        <v>10</v>
      </c>
      <c r="AB9" s="116"/>
      <c r="AC9" s="144" t="s">
        <v>172</v>
      </c>
      <c r="AD9" s="143" t="s">
        <v>168</v>
      </c>
      <c r="AE9" s="143" t="s">
        <v>169</v>
      </c>
      <c r="AF9" s="143" t="s">
        <v>170</v>
      </c>
      <c r="AG9" s="144" t="s">
        <v>172</v>
      </c>
      <c r="AH9" s="143" t="s">
        <v>168</v>
      </c>
      <c r="AI9" s="143" t="s">
        <v>169</v>
      </c>
      <c r="AJ9" s="143" t="s">
        <v>170</v>
      </c>
      <c r="AK9" s="24"/>
      <c r="AL9" s="112"/>
      <c r="AM9" s="112"/>
      <c r="AN9" s="25"/>
      <c r="AO9" s="140" t="s">
        <v>77</v>
      </c>
      <c r="AP9" s="63">
        <v>1</v>
      </c>
      <c r="AQ9" s="63">
        <v>2</v>
      </c>
      <c r="AR9" s="63">
        <v>3</v>
      </c>
      <c r="AS9" s="63">
        <v>4</v>
      </c>
      <c r="AT9" s="63">
        <v>5</v>
      </c>
      <c r="AU9" s="63">
        <v>6</v>
      </c>
      <c r="AV9" s="63">
        <v>7</v>
      </c>
      <c r="AW9" s="63">
        <v>8</v>
      </c>
      <c r="AX9" s="63">
        <v>9</v>
      </c>
      <c r="AY9" s="63">
        <v>10</v>
      </c>
      <c r="AZ9" s="20"/>
      <c r="BA9" s="138" t="s">
        <v>71</v>
      </c>
      <c r="BB9" s="133" t="s">
        <v>3</v>
      </c>
      <c r="BC9" s="133" t="s">
        <v>70</v>
      </c>
      <c r="BD9" s="140" t="s">
        <v>77</v>
      </c>
      <c r="BE9" s="63">
        <v>1</v>
      </c>
      <c r="BF9" s="63">
        <v>2</v>
      </c>
      <c r="BG9" s="63">
        <v>3</v>
      </c>
      <c r="BH9" s="63">
        <v>4</v>
      </c>
      <c r="BI9" s="63">
        <v>5</v>
      </c>
      <c r="BJ9" s="63">
        <v>6</v>
      </c>
      <c r="BK9" s="63">
        <v>7</v>
      </c>
      <c r="BL9" s="63">
        <v>8</v>
      </c>
      <c r="BM9" s="63">
        <v>9</v>
      </c>
      <c r="BN9" s="63">
        <v>10</v>
      </c>
      <c r="BO9" s="20"/>
      <c r="BP9" s="138" t="s">
        <v>71</v>
      </c>
      <c r="BQ9" s="133" t="s">
        <v>3</v>
      </c>
      <c r="BR9" s="133" t="s">
        <v>70</v>
      </c>
    </row>
    <row r="10" spans="1:74" ht="17.399999999999999" customHeight="1" x14ac:dyDescent="0.35">
      <c r="A10" s="149"/>
      <c r="B10" s="149"/>
      <c r="C10" s="28"/>
      <c r="D10" s="65"/>
      <c r="E10" s="141"/>
      <c r="F10" s="135" t="s">
        <v>163</v>
      </c>
      <c r="G10" s="136"/>
      <c r="H10" s="136"/>
      <c r="I10" s="136"/>
      <c r="J10" s="136"/>
      <c r="K10" s="136"/>
      <c r="L10" s="136"/>
      <c r="M10" s="136"/>
      <c r="N10" s="136"/>
      <c r="O10" s="137"/>
      <c r="P10" s="20"/>
      <c r="Q10" s="139"/>
      <c r="R10" s="134"/>
      <c r="S10" s="154"/>
      <c r="T10" s="147"/>
      <c r="U10" s="147"/>
      <c r="V10" s="147"/>
      <c r="W10" s="117"/>
      <c r="X10" s="117"/>
      <c r="Y10" s="117"/>
      <c r="Z10" s="117"/>
      <c r="AA10" s="118"/>
      <c r="AB10" s="119"/>
      <c r="AC10" s="145"/>
      <c r="AD10" s="141"/>
      <c r="AE10" s="141"/>
      <c r="AF10" s="141"/>
      <c r="AG10" s="145"/>
      <c r="AH10" s="141"/>
      <c r="AI10" s="141"/>
      <c r="AJ10" s="141"/>
      <c r="AK10" s="24"/>
      <c r="AL10" s="112"/>
      <c r="AM10" s="112"/>
      <c r="AN10" s="25"/>
      <c r="AO10" s="141"/>
      <c r="AP10" s="135" t="s">
        <v>78</v>
      </c>
      <c r="AQ10" s="136"/>
      <c r="AR10" s="136"/>
      <c r="AS10" s="136"/>
      <c r="AT10" s="136"/>
      <c r="AU10" s="136"/>
      <c r="AV10" s="136"/>
      <c r="AW10" s="136"/>
      <c r="AX10" s="136"/>
      <c r="AY10" s="137"/>
      <c r="AZ10" s="20"/>
      <c r="BA10" s="139"/>
      <c r="BB10" s="134"/>
      <c r="BC10" s="134"/>
      <c r="BD10" s="141"/>
      <c r="BE10" s="135" t="s">
        <v>78</v>
      </c>
      <c r="BF10" s="136"/>
      <c r="BG10" s="136"/>
      <c r="BH10" s="136"/>
      <c r="BI10" s="136"/>
      <c r="BJ10" s="136"/>
      <c r="BK10" s="136"/>
      <c r="BL10" s="136"/>
      <c r="BM10" s="136"/>
      <c r="BN10" s="137"/>
      <c r="BO10" s="20"/>
      <c r="BP10" s="139"/>
      <c r="BQ10" s="134"/>
      <c r="BR10" s="134"/>
    </row>
    <row r="11" spans="1:74" ht="97" customHeight="1" x14ac:dyDescent="0.35">
      <c r="A11" s="64"/>
      <c r="B11" s="19"/>
      <c r="C11" s="29"/>
      <c r="D11" s="66"/>
      <c r="E11" s="142"/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92">
        <v>1</v>
      </c>
      <c r="L11" s="92">
        <v>1</v>
      </c>
      <c r="M11" s="92">
        <v>1</v>
      </c>
      <c r="N11" s="92">
        <v>1</v>
      </c>
      <c r="O11" s="92">
        <v>2</v>
      </c>
      <c r="P11" s="92">
        <v>10</v>
      </c>
      <c r="Q11" s="2"/>
      <c r="R11" s="2"/>
      <c r="S11" s="155"/>
      <c r="T11" s="148"/>
      <c r="U11" s="148"/>
      <c r="V11" s="148"/>
      <c r="W11" s="120"/>
      <c r="X11" s="121">
        <v>1</v>
      </c>
      <c r="Y11" s="121">
        <v>1</v>
      </c>
      <c r="Z11" s="121">
        <v>1</v>
      </c>
      <c r="AA11" s="121">
        <v>2</v>
      </c>
      <c r="AB11" s="122"/>
      <c r="AC11" s="134"/>
      <c r="AD11" s="142"/>
      <c r="AE11" s="142"/>
      <c r="AF11" s="142"/>
      <c r="AG11" s="134"/>
      <c r="AH11" s="142"/>
      <c r="AI11" s="142"/>
      <c r="AJ11" s="142"/>
      <c r="AK11" s="26"/>
      <c r="AL11" s="56"/>
      <c r="AM11" s="56"/>
      <c r="AN11" s="27"/>
      <c r="AO11" s="142"/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2</v>
      </c>
      <c r="AZ11" s="2">
        <f>SUM(AP11:AY11)</f>
        <v>11</v>
      </c>
      <c r="BA11" s="2"/>
      <c r="BB11" s="2"/>
      <c r="BC11" s="2"/>
      <c r="BD11" s="142"/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2</v>
      </c>
      <c r="BO11" s="2">
        <f>SUM(BE11:BN11)</f>
        <v>11</v>
      </c>
      <c r="BP11" s="2"/>
      <c r="BQ11" s="2"/>
      <c r="BR11" s="2"/>
    </row>
    <row r="12" spans="1:74" ht="15" customHeight="1" x14ac:dyDescent="0.35">
      <c r="A12" s="41">
        <v>1</v>
      </c>
      <c r="B12" s="113" t="s">
        <v>265</v>
      </c>
      <c r="C12" s="31"/>
      <c r="D12" s="36"/>
      <c r="E12" s="70">
        <v>70</v>
      </c>
      <c r="F12" s="42">
        <v>0</v>
      </c>
      <c r="G12" s="42">
        <v>2</v>
      </c>
      <c r="H12" s="42">
        <v>2</v>
      </c>
      <c r="I12" s="42">
        <v>2</v>
      </c>
      <c r="J12" s="42">
        <v>0</v>
      </c>
      <c r="K12" s="42"/>
      <c r="L12" s="42"/>
      <c r="M12" s="42"/>
      <c r="N12" s="42"/>
      <c r="O12" s="42"/>
      <c r="P12" s="2"/>
      <c r="Q12" s="43">
        <f>SUM(F12:O12)</f>
        <v>6</v>
      </c>
      <c r="R12" s="44">
        <f>Q12/P11*100</f>
        <v>60</v>
      </c>
      <c r="S12" s="123" t="s">
        <v>24</v>
      </c>
      <c r="T12" s="124">
        <v>85</v>
      </c>
      <c r="U12" s="124">
        <v>85</v>
      </c>
      <c r="V12" s="125" t="s">
        <v>171</v>
      </c>
      <c r="W12" s="125"/>
      <c r="X12" s="125"/>
      <c r="Y12" s="125"/>
      <c r="Z12" s="125"/>
      <c r="AA12" s="125"/>
      <c r="AB12" s="125"/>
      <c r="AC12" s="42" t="s">
        <v>24</v>
      </c>
      <c r="AD12" s="50">
        <v>80</v>
      </c>
      <c r="AE12" s="50">
        <v>80</v>
      </c>
      <c r="AF12" s="42" t="s">
        <v>171</v>
      </c>
      <c r="AG12" s="70" t="s">
        <v>24</v>
      </c>
      <c r="AH12" s="42">
        <v>80</v>
      </c>
      <c r="AI12" s="42">
        <v>80</v>
      </c>
      <c r="AJ12" s="42" t="s">
        <v>171</v>
      </c>
      <c r="AK12" s="32"/>
      <c r="AL12" s="110"/>
      <c r="AM12" s="110"/>
      <c r="AN12" s="33"/>
      <c r="AO12" s="70">
        <v>65</v>
      </c>
      <c r="AP12" s="42">
        <v>1</v>
      </c>
      <c r="AQ12" s="42">
        <v>1</v>
      </c>
      <c r="AR12" s="42">
        <v>1</v>
      </c>
      <c r="AS12" s="42">
        <v>1</v>
      </c>
      <c r="AT12" s="42">
        <v>1</v>
      </c>
      <c r="AU12" s="42">
        <v>1</v>
      </c>
      <c r="AV12" s="42">
        <v>1</v>
      </c>
      <c r="AW12" s="42">
        <v>1</v>
      </c>
      <c r="AX12" s="42">
        <v>1</v>
      </c>
      <c r="AY12" s="42">
        <v>2</v>
      </c>
      <c r="AZ12" s="2"/>
      <c r="BA12" s="43">
        <f>SUM(AP12:AY12)</f>
        <v>11</v>
      </c>
      <c r="BB12" s="44">
        <f>BA12/AZ11*100</f>
        <v>100</v>
      </c>
      <c r="BC12" s="35" t="str">
        <f>IFERROR(IF(BB12&lt;AO12,"Perbaiakan",IF(BB12&gt;=AO12,"Pengayaan","")),"")</f>
        <v>Pengayaan</v>
      </c>
      <c r="BD12" s="67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3">
        <f>SUM(BE12:BN12)</f>
        <v>0</v>
      </c>
      <c r="BQ12" s="44">
        <f>BP12/BO11*100</f>
        <v>0</v>
      </c>
      <c r="BR12" s="35" t="str">
        <f>IFERROR(IF(BQ12&lt;BD12,"Perbaiakan",IF(BQ12&gt;=BD12,"Pengayaan","")),"")</f>
        <v>Pengayaan</v>
      </c>
    </row>
    <row r="13" spans="1:74" ht="15" customHeight="1" x14ac:dyDescent="0.35">
      <c r="A13" s="45">
        <v>2</v>
      </c>
      <c r="B13" s="113" t="s">
        <v>266</v>
      </c>
      <c r="C13" s="31"/>
      <c r="D13" s="36"/>
      <c r="E13" s="70">
        <v>70</v>
      </c>
      <c r="F13" s="2">
        <v>0</v>
      </c>
      <c r="G13" s="2">
        <v>2</v>
      </c>
      <c r="H13" s="2">
        <v>2</v>
      </c>
      <c r="I13" s="2">
        <v>2</v>
      </c>
      <c r="J13" s="2">
        <v>2</v>
      </c>
      <c r="K13" s="2"/>
      <c r="L13" s="2"/>
      <c r="M13" s="2"/>
      <c r="N13" s="2"/>
      <c r="O13" s="2"/>
      <c r="P13" s="2"/>
      <c r="Q13" s="43">
        <f t="shared" ref="Q13:Q28" si="0">SUM(F13:O13)</f>
        <v>8</v>
      </c>
      <c r="R13" s="44">
        <f>Q13/P11*100</f>
        <v>80</v>
      </c>
      <c r="S13" s="123" t="s">
        <v>24</v>
      </c>
      <c r="T13" s="124">
        <v>90</v>
      </c>
      <c r="U13" s="124">
        <v>90</v>
      </c>
      <c r="V13" s="125" t="s">
        <v>171</v>
      </c>
      <c r="W13" s="120"/>
      <c r="X13" s="120"/>
      <c r="Y13" s="120"/>
      <c r="Z13" s="120"/>
      <c r="AA13" s="120"/>
      <c r="AB13" s="126"/>
      <c r="AC13" s="2" t="s">
        <v>24</v>
      </c>
      <c r="AD13" s="50">
        <v>80</v>
      </c>
      <c r="AE13" s="50">
        <v>80</v>
      </c>
      <c r="AF13" s="42" t="s">
        <v>171</v>
      </c>
      <c r="AG13" s="70" t="s">
        <v>24</v>
      </c>
      <c r="AH13" s="2">
        <v>100</v>
      </c>
      <c r="AI13" s="2">
        <v>100</v>
      </c>
      <c r="AJ13" s="42" t="s">
        <v>171</v>
      </c>
      <c r="AK13" s="32"/>
      <c r="AL13" s="110"/>
      <c r="AM13" s="110"/>
      <c r="AN13" s="33"/>
      <c r="AO13" s="70">
        <v>60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/>
      <c r="AW13" s="2"/>
      <c r="AX13" s="2"/>
      <c r="AY13" s="2"/>
      <c r="AZ13" s="2"/>
      <c r="BA13" s="43">
        <f t="shared" ref="BA13:BA28" si="1">SUM(AP13:AY13)</f>
        <v>6</v>
      </c>
      <c r="BB13" s="44">
        <f>BA13/AZ11*100</f>
        <v>54.54545454545454</v>
      </c>
      <c r="BC13" s="35" t="str">
        <f t="shared" ref="BC13:BC28" si="2">IFERROR(IF(BB13&lt;AO13,"Perbaiakan",IF(BB13&gt;=AO13,"Pengayaan","")),"")</f>
        <v>Perbaiakan</v>
      </c>
      <c r="BD13" s="68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43">
        <f t="shared" ref="BP13:BP28" si="3">SUM(BE13:BN13)</f>
        <v>0</v>
      </c>
      <c r="BQ13" s="44">
        <f>BP13/BO11*100</f>
        <v>0</v>
      </c>
      <c r="BR13" s="35" t="str">
        <f t="shared" ref="BR13:BR28" si="4">IFERROR(IF(BQ13&lt;BD13,"Perbaiakan",IF(BQ13&gt;=BD13,"Pengayaan","")),"")</f>
        <v>Pengayaan</v>
      </c>
    </row>
    <row r="14" spans="1:74" ht="15" customHeight="1" x14ac:dyDescent="0.35">
      <c r="A14" s="41">
        <v>3</v>
      </c>
      <c r="B14" s="113" t="s">
        <v>267</v>
      </c>
      <c r="C14" s="31"/>
      <c r="D14" s="36"/>
      <c r="E14" s="70">
        <v>70</v>
      </c>
      <c r="F14" s="2">
        <v>2</v>
      </c>
      <c r="G14" s="2">
        <v>0</v>
      </c>
      <c r="H14" s="2">
        <v>2</v>
      </c>
      <c r="I14" s="2">
        <v>2</v>
      </c>
      <c r="J14" s="2">
        <v>2</v>
      </c>
      <c r="K14" s="2"/>
      <c r="L14" s="2"/>
      <c r="M14" s="2"/>
      <c r="N14" s="2"/>
      <c r="O14" s="2"/>
      <c r="P14" s="2"/>
      <c r="Q14" s="43">
        <f t="shared" si="0"/>
        <v>8</v>
      </c>
      <c r="R14" s="44">
        <f>Q14/P11*100</f>
        <v>80</v>
      </c>
      <c r="S14" s="123" t="s">
        <v>24</v>
      </c>
      <c r="T14" s="124">
        <v>90</v>
      </c>
      <c r="U14" s="124">
        <v>90</v>
      </c>
      <c r="V14" s="125" t="s">
        <v>171</v>
      </c>
      <c r="W14" s="120"/>
      <c r="X14" s="120"/>
      <c r="Y14" s="120"/>
      <c r="Z14" s="120"/>
      <c r="AA14" s="120"/>
      <c r="AB14" s="126"/>
      <c r="AC14" s="2" t="s">
        <v>24</v>
      </c>
      <c r="AD14" s="50">
        <v>80</v>
      </c>
      <c r="AE14" s="50">
        <v>80</v>
      </c>
      <c r="AF14" s="42" t="s">
        <v>171</v>
      </c>
      <c r="AG14" s="70" t="s">
        <v>24</v>
      </c>
      <c r="AH14" s="2">
        <v>80</v>
      </c>
      <c r="AI14" s="2">
        <v>80</v>
      </c>
      <c r="AJ14" s="42" t="s">
        <v>171</v>
      </c>
      <c r="AK14" s="32"/>
      <c r="AL14" s="110"/>
      <c r="AM14" s="110"/>
      <c r="AN14" s="33"/>
      <c r="AO14" s="7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43">
        <f t="shared" si="1"/>
        <v>0</v>
      </c>
      <c r="BB14" s="44">
        <f>BA14/AZ11*100</f>
        <v>0</v>
      </c>
      <c r="BC14" s="35" t="str">
        <f t="shared" si="2"/>
        <v>Pengayaan</v>
      </c>
      <c r="BD14" s="68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43">
        <f t="shared" si="3"/>
        <v>0</v>
      </c>
      <c r="BQ14" s="44">
        <f>BP14/BO11*100</f>
        <v>0</v>
      </c>
      <c r="BR14" s="35" t="str">
        <f t="shared" si="4"/>
        <v>Pengayaan</v>
      </c>
    </row>
    <row r="15" spans="1:74" ht="15" customHeight="1" x14ac:dyDescent="0.35">
      <c r="A15" s="45">
        <v>4</v>
      </c>
      <c r="B15" s="113" t="s">
        <v>268</v>
      </c>
      <c r="C15" s="31"/>
      <c r="D15" s="36"/>
      <c r="E15" s="70">
        <v>70</v>
      </c>
      <c r="F15" s="2">
        <v>2</v>
      </c>
      <c r="G15" s="2">
        <v>2</v>
      </c>
      <c r="H15" s="2">
        <v>2</v>
      </c>
      <c r="I15" s="2">
        <v>0</v>
      </c>
      <c r="J15" s="2">
        <v>2</v>
      </c>
      <c r="K15" s="2"/>
      <c r="L15" s="2"/>
      <c r="M15" s="2"/>
      <c r="N15" s="2"/>
      <c r="O15" s="2"/>
      <c r="P15" s="2"/>
      <c r="Q15" s="43">
        <f t="shared" si="0"/>
        <v>8</v>
      </c>
      <c r="R15" s="44">
        <f>Q15/P11*100</f>
        <v>80</v>
      </c>
      <c r="S15" s="123" t="s">
        <v>23</v>
      </c>
      <c r="T15" s="124">
        <v>55.000000000000007</v>
      </c>
      <c r="U15" s="124">
        <v>70</v>
      </c>
      <c r="V15" s="125" t="s">
        <v>171</v>
      </c>
      <c r="W15" s="120"/>
      <c r="X15" s="120"/>
      <c r="Y15" s="120"/>
      <c r="Z15" s="120"/>
      <c r="AA15" s="120"/>
      <c r="AB15" s="126"/>
      <c r="AC15" s="2" t="s">
        <v>24</v>
      </c>
      <c r="AD15" s="50">
        <v>80</v>
      </c>
      <c r="AE15" s="50">
        <v>80</v>
      </c>
      <c r="AF15" s="42" t="s">
        <v>171</v>
      </c>
      <c r="AG15" s="70" t="s">
        <v>24</v>
      </c>
      <c r="AH15" s="2">
        <v>100</v>
      </c>
      <c r="AI15" s="2">
        <v>100</v>
      </c>
      <c r="AJ15" s="42" t="s">
        <v>171</v>
      </c>
      <c r="AK15" s="32"/>
      <c r="AL15" s="110"/>
      <c r="AM15" s="110"/>
      <c r="AN15" s="33"/>
      <c r="AO15" s="70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43">
        <f t="shared" si="1"/>
        <v>0</v>
      </c>
      <c r="BB15" s="44">
        <f>BA15/AZ11*100</f>
        <v>0</v>
      </c>
      <c r="BC15" s="35" t="str">
        <f t="shared" si="2"/>
        <v>Pengayaan</v>
      </c>
      <c r="BD15" s="68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43">
        <f t="shared" si="3"/>
        <v>0</v>
      </c>
      <c r="BQ15" s="44">
        <f>BP15/BO11*100</f>
        <v>0</v>
      </c>
      <c r="BR15" s="35" t="str">
        <f t="shared" si="4"/>
        <v>Pengayaan</v>
      </c>
    </row>
    <row r="16" spans="1:74" ht="15" customHeight="1" x14ac:dyDescent="0.35">
      <c r="A16" s="41">
        <v>5</v>
      </c>
      <c r="B16" s="113" t="s">
        <v>269</v>
      </c>
      <c r="C16" s="31"/>
      <c r="D16" s="36"/>
      <c r="E16" s="70">
        <v>70</v>
      </c>
      <c r="F16" s="2">
        <v>0</v>
      </c>
      <c r="G16" s="2">
        <v>0</v>
      </c>
      <c r="H16" s="2">
        <v>2</v>
      </c>
      <c r="I16" s="2">
        <v>2</v>
      </c>
      <c r="J16" s="2">
        <v>0</v>
      </c>
      <c r="K16" s="2"/>
      <c r="L16" s="2"/>
      <c r="M16" s="2"/>
      <c r="N16" s="2"/>
      <c r="O16" s="2"/>
      <c r="P16" s="2"/>
      <c r="Q16" s="43">
        <f t="shared" si="0"/>
        <v>4</v>
      </c>
      <c r="R16" s="44">
        <f>Q16/P11*100</f>
        <v>40</v>
      </c>
      <c r="S16" s="123" t="s">
        <v>24</v>
      </c>
      <c r="T16" s="124">
        <v>75</v>
      </c>
      <c r="U16" s="124">
        <v>75</v>
      </c>
      <c r="V16" s="125" t="s">
        <v>171</v>
      </c>
      <c r="W16" s="120"/>
      <c r="X16" s="120"/>
      <c r="Y16" s="120"/>
      <c r="Z16" s="120"/>
      <c r="AA16" s="120"/>
      <c r="AB16" s="126"/>
      <c r="AC16" s="2" t="s">
        <v>24</v>
      </c>
      <c r="AD16" s="50">
        <v>80</v>
      </c>
      <c r="AE16" s="50">
        <v>80</v>
      </c>
      <c r="AF16" s="42" t="s">
        <v>171</v>
      </c>
      <c r="AG16" s="70" t="s">
        <v>23</v>
      </c>
      <c r="AH16" s="2">
        <v>60</v>
      </c>
      <c r="AI16" s="2">
        <v>70</v>
      </c>
      <c r="AJ16" s="42" t="s">
        <v>171</v>
      </c>
      <c r="AK16" s="32"/>
      <c r="AL16" s="110"/>
      <c r="AM16" s="110"/>
      <c r="AN16" s="33"/>
      <c r="AO16" s="70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43">
        <f t="shared" si="1"/>
        <v>0</v>
      </c>
      <c r="BB16" s="44">
        <f>BA16/AZ11*100</f>
        <v>0</v>
      </c>
      <c r="BC16" s="35" t="str">
        <f t="shared" si="2"/>
        <v>Pengayaan</v>
      </c>
      <c r="BD16" s="68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43">
        <f t="shared" si="3"/>
        <v>0</v>
      </c>
      <c r="BQ16" s="44">
        <f>BP16/BO11*100</f>
        <v>0</v>
      </c>
      <c r="BR16" s="35" t="str">
        <f t="shared" si="4"/>
        <v>Pengayaan</v>
      </c>
    </row>
    <row r="17" spans="1:83" ht="15" customHeight="1" x14ac:dyDescent="0.35">
      <c r="A17" s="45">
        <v>6</v>
      </c>
      <c r="B17" s="113" t="s">
        <v>270</v>
      </c>
      <c r="C17" s="31"/>
      <c r="D17" s="36"/>
      <c r="E17" s="70">
        <v>70</v>
      </c>
      <c r="F17" s="2">
        <v>2</v>
      </c>
      <c r="G17" s="2">
        <v>2</v>
      </c>
      <c r="H17" s="2">
        <v>2</v>
      </c>
      <c r="I17" s="2">
        <v>2</v>
      </c>
      <c r="J17" s="2">
        <v>0</v>
      </c>
      <c r="K17" s="2"/>
      <c r="L17" s="2"/>
      <c r="M17" s="2"/>
      <c r="N17" s="2"/>
      <c r="O17" s="2"/>
      <c r="P17" s="2"/>
      <c r="Q17" s="43">
        <f t="shared" si="0"/>
        <v>8</v>
      </c>
      <c r="R17" s="44">
        <f>Q17/P11*100</f>
        <v>80</v>
      </c>
      <c r="S17" s="123" t="s">
        <v>24</v>
      </c>
      <c r="T17" s="124">
        <v>90</v>
      </c>
      <c r="U17" s="124">
        <v>90</v>
      </c>
      <c r="V17" s="125" t="s">
        <v>171</v>
      </c>
      <c r="W17" s="120"/>
      <c r="X17" s="120"/>
      <c r="Y17" s="120"/>
      <c r="Z17" s="120"/>
      <c r="AA17" s="120"/>
      <c r="AB17" s="126"/>
      <c r="AC17" s="2" t="s">
        <v>23</v>
      </c>
      <c r="AD17" s="50">
        <v>60</v>
      </c>
      <c r="AE17" s="50">
        <v>70</v>
      </c>
      <c r="AF17" s="42" t="s">
        <v>171</v>
      </c>
      <c r="AG17" s="70" t="s">
        <v>24</v>
      </c>
      <c r="AH17" s="2">
        <v>80</v>
      </c>
      <c r="AI17" s="2">
        <v>80</v>
      </c>
      <c r="AJ17" s="42" t="s">
        <v>171</v>
      </c>
      <c r="AK17" s="32"/>
      <c r="AL17" s="110"/>
      <c r="AM17" s="110"/>
      <c r="AN17" s="33"/>
      <c r="AO17" s="70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43">
        <f t="shared" si="1"/>
        <v>0</v>
      </c>
      <c r="BB17" s="44">
        <f>BA17/AZ11*100</f>
        <v>0</v>
      </c>
      <c r="BC17" s="35" t="str">
        <f t="shared" si="2"/>
        <v>Pengayaan</v>
      </c>
      <c r="BD17" s="68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43">
        <f t="shared" si="3"/>
        <v>0</v>
      </c>
      <c r="BQ17" s="44">
        <f>BP17/BO11*100</f>
        <v>0</v>
      </c>
      <c r="BR17" s="35" t="str">
        <f t="shared" si="4"/>
        <v>Pengayaan</v>
      </c>
    </row>
    <row r="18" spans="1:83" ht="15" customHeight="1" x14ac:dyDescent="0.35">
      <c r="A18" s="41">
        <v>7</v>
      </c>
      <c r="B18" s="113" t="s">
        <v>271</v>
      </c>
      <c r="C18" s="31"/>
      <c r="D18" s="36"/>
      <c r="E18" s="70">
        <v>70</v>
      </c>
      <c r="F18" s="2">
        <v>2</v>
      </c>
      <c r="G18" s="2">
        <v>2</v>
      </c>
      <c r="H18" s="2">
        <v>2</v>
      </c>
      <c r="I18" s="2">
        <v>2</v>
      </c>
      <c r="J18" s="2">
        <v>0</v>
      </c>
      <c r="K18" s="2"/>
      <c r="L18" s="2"/>
      <c r="M18" s="2"/>
      <c r="N18" s="2"/>
      <c r="O18" s="2"/>
      <c r="P18" s="2"/>
      <c r="Q18" s="43">
        <f t="shared" si="0"/>
        <v>8</v>
      </c>
      <c r="R18" s="44">
        <f>Q18/P11*100</f>
        <v>80</v>
      </c>
      <c r="S18" s="123" t="s">
        <v>24</v>
      </c>
      <c r="T18" s="124">
        <v>75</v>
      </c>
      <c r="U18" s="124">
        <v>75</v>
      </c>
      <c r="V18" s="125" t="s">
        <v>171</v>
      </c>
      <c r="W18" s="120"/>
      <c r="X18" s="120"/>
      <c r="Y18" s="120"/>
      <c r="Z18" s="120"/>
      <c r="AA18" s="120"/>
      <c r="AB18" s="126"/>
      <c r="AC18" s="2" t="s">
        <v>24</v>
      </c>
      <c r="AD18" s="50">
        <v>80</v>
      </c>
      <c r="AE18" s="50">
        <v>80</v>
      </c>
      <c r="AF18" s="42" t="s">
        <v>171</v>
      </c>
      <c r="AG18" s="70" t="s">
        <v>24</v>
      </c>
      <c r="AH18" s="2">
        <v>80</v>
      </c>
      <c r="AI18" s="2">
        <v>80</v>
      </c>
      <c r="AJ18" s="42" t="s">
        <v>171</v>
      </c>
      <c r="AK18" s="32"/>
      <c r="AL18" s="110"/>
      <c r="AM18" s="110"/>
      <c r="AN18" s="33"/>
      <c r="AO18" s="70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43">
        <f t="shared" si="1"/>
        <v>0</v>
      </c>
      <c r="BB18" s="44">
        <f>BA18/AZ11*100</f>
        <v>0</v>
      </c>
      <c r="BC18" s="35" t="str">
        <f t="shared" si="2"/>
        <v>Pengayaan</v>
      </c>
      <c r="BD18" s="68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43">
        <f t="shared" si="3"/>
        <v>0</v>
      </c>
      <c r="BQ18" s="44">
        <f>BP18/BO11*100</f>
        <v>0</v>
      </c>
      <c r="BR18" s="35" t="str">
        <f t="shared" si="4"/>
        <v>Pengayaan</v>
      </c>
    </row>
    <row r="19" spans="1:83" ht="15" customHeight="1" x14ac:dyDescent="0.35">
      <c r="A19" s="45">
        <v>8</v>
      </c>
      <c r="B19" s="113" t="s">
        <v>272</v>
      </c>
      <c r="C19" s="31"/>
      <c r="D19" s="36"/>
      <c r="E19" s="70">
        <v>70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/>
      <c r="L19" s="2"/>
      <c r="M19" s="2"/>
      <c r="N19" s="2"/>
      <c r="O19" s="2"/>
      <c r="P19" s="2"/>
      <c r="Q19" s="43">
        <f t="shared" si="0"/>
        <v>10</v>
      </c>
      <c r="R19" s="44">
        <f>Q19/P11*100</f>
        <v>100</v>
      </c>
      <c r="S19" s="123" t="s">
        <v>24</v>
      </c>
      <c r="T19" s="124">
        <v>75</v>
      </c>
      <c r="U19" s="124">
        <v>75</v>
      </c>
      <c r="V19" s="125" t="s">
        <v>171</v>
      </c>
      <c r="W19" s="120"/>
      <c r="X19" s="120"/>
      <c r="Y19" s="120"/>
      <c r="Z19" s="120"/>
      <c r="AA19" s="120"/>
      <c r="AB19" s="126"/>
      <c r="AC19" s="2" t="s">
        <v>24</v>
      </c>
      <c r="AD19" s="50">
        <v>80</v>
      </c>
      <c r="AE19" s="50">
        <v>80</v>
      </c>
      <c r="AF19" s="42" t="s">
        <v>171</v>
      </c>
      <c r="AG19" s="70" t="s">
        <v>24</v>
      </c>
      <c r="AH19" s="2">
        <v>80</v>
      </c>
      <c r="AI19" s="2">
        <v>80</v>
      </c>
      <c r="AJ19" s="42" t="s">
        <v>171</v>
      </c>
      <c r="AK19" s="32"/>
      <c r="AL19" s="110"/>
      <c r="AM19" s="110"/>
      <c r="AN19" s="33"/>
      <c r="AO19" s="70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43">
        <f t="shared" si="1"/>
        <v>0</v>
      </c>
      <c r="BB19" s="44">
        <f>BA19/AZ11*100</f>
        <v>0</v>
      </c>
      <c r="BC19" s="35" t="str">
        <f t="shared" si="2"/>
        <v>Pengayaan</v>
      </c>
      <c r="BD19" s="68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43">
        <f t="shared" si="3"/>
        <v>0</v>
      </c>
      <c r="BQ19" s="44">
        <f>BP19/BO11*100</f>
        <v>0</v>
      </c>
      <c r="BR19" s="35" t="str">
        <f t="shared" si="4"/>
        <v>Pengayaan</v>
      </c>
    </row>
    <row r="20" spans="1:83" ht="15" customHeight="1" x14ac:dyDescent="0.35">
      <c r="A20" s="41">
        <v>9</v>
      </c>
      <c r="B20" s="113" t="s">
        <v>273</v>
      </c>
      <c r="C20" s="31"/>
      <c r="D20" s="36"/>
      <c r="E20" s="70">
        <v>70</v>
      </c>
      <c r="F20" s="2">
        <v>2</v>
      </c>
      <c r="G20" s="2">
        <v>2</v>
      </c>
      <c r="H20" s="2">
        <v>2</v>
      </c>
      <c r="I20" s="2">
        <v>0</v>
      </c>
      <c r="J20" s="2">
        <v>2</v>
      </c>
      <c r="K20" s="2"/>
      <c r="L20" s="2"/>
      <c r="M20" s="2"/>
      <c r="N20" s="2"/>
      <c r="O20" s="2"/>
      <c r="P20" s="2"/>
      <c r="Q20" s="43">
        <f t="shared" si="0"/>
        <v>8</v>
      </c>
      <c r="R20" s="44">
        <f>Q20/P11*100</f>
        <v>80</v>
      </c>
      <c r="S20" s="123" t="s">
        <v>23</v>
      </c>
      <c r="T20" s="124">
        <v>60</v>
      </c>
      <c r="U20" s="124">
        <v>70</v>
      </c>
      <c r="V20" s="125" t="s">
        <v>171</v>
      </c>
      <c r="W20" s="120"/>
      <c r="X20" s="120"/>
      <c r="Y20" s="120"/>
      <c r="Z20" s="120"/>
      <c r="AA20" s="120"/>
      <c r="AB20" s="126"/>
      <c r="AC20" s="2" t="s">
        <v>24</v>
      </c>
      <c r="AD20" s="50">
        <v>80</v>
      </c>
      <c r="AE20" s="50">
        <v>80</v>
      </c>
      <c r="AF20" s="42" t="s">
        <v>171</v>
      </c>
      <c r="AG20" s="70" t="s">
        <v>24</v>
      </c>
      <c r="AH20" s="2">
        <v>80</v>
      </c>
      <c r="AI20" s="2">
        <v>80</v>
      </c>
      <c r="AJ20" s="42" t="s">
        <v>171</v>
      </c>
      <c r="AK20" s="32"/>
      <c r="AL20" s="110"/>
      <c r="AM20" s="110"/>
      <c r="AN20" s="33"/>
      <c r="AO20" s="70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43">
        <f t="shared" si="1"/>
        <v>0</v>
      </c>
      <c r="BB20" s="44">
        <f>BA20/AZ11*100</f>
        <v>0</v>
      </c>
      <c r="BC20" s="35" t="str">
        <f t="shared" si="2"/>
        <v>Pengayaan</v>
      </c>
      <c r="BD20" s="68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43">
        <f t="shared" si="3"/>
        <v>0</v>
      </c>
      <c r="BQ20" s="44">
        <f>BP20/BO11*100</f>
        <v>0</v>
      </c>
      <c r="BR20" s="35" t="str">
        <f t="shared" si="4"/>
        <v>Pengayaan</v>
      </c>
    </row>
    <row r="21" spans="1:83" ht="15" customHeight="1" x14ac:dyDescent="0.35">
      <c r="A21" s="45">
        <v>10</v>
      </c>
      <c r="B21" s="113" t="s">
        <v>274</v>
      </c>
      <c r="C21" s="31"/>
      <c r="D21" s="36"/>
      <c r="E21" s="70">
        <v>70</v>
      </c>
      <c r="F21" s="2">
        <v>0</v>
      </c>
      <c r="G21" s="2">
        <v>0</v>
      </c>
      <c r="H21" s="2">
        <v>2</v>
      </c>
      <c r="I21" s="2">
        <v>0</v>
      </c>
      <c r="J21" s="2">
        <v>0</v>
      </c>
      <c r="K21" s="2"/>
      <c r="L21" s="2"/>
      <c r="M21" s="2"/>
      <c r="N21" s="2"/>
      <c r="O21" s="2"/>
      <c r="P21" s="2"/>
      <c r="Q21" s="43">
        <f t="shared" si="0"/>
        <v>2</v>
      </c>
      <c r="R21" s="44">
        <f>Q21/P11*100</f>
        <v>20</v>
      </c>
      <c r="S21" s="123" t="s">
        <v>24</v>
      </c>
      <c r="T21" s="124">
        <v>80</v>
      </c>
      <c r="U21" s="124">
        <v>80</v>
      </c>
      <c r="V21" s="125" t="s">
        <v>171</v>
      </c>
      <c r="W21" s="120"/>
      <c r="X21" s="120"/>
      <c r="Y21" s="120"/>
      <c r="Z21" s="120"/>
      <c r="AA21" s="120"/>
      <c r="AB21" s="126"/>
      <c r="AC21" s="2" t="s">
        <v>23</v>
      </c>
      <c r="AD21" s="50">
        <v>0</v>
      </c>
      <c r="AE21" s="50">
        <v>70</v>
      </c>
      <c r="AF21" s="42" t="s">
        <v>171</v>
      </c>
      <c r="AG21" s="70" t="s">
        <v>23</v>
      </c>
      <c r="AH21" s="2">
        <v>0</v>
      </c>
      <c r="AI21" s="2">
        <v>70</v>
      </c>
      <c r="AJ21" s="42" t="s">
        <v>171</v>
      </c>
      <c r="AK21" s="32"/>
      <c r="AL21" s="110"/>
      <c r="AM21" s="110"/>
      <c r="AN21" s="33"/>
      <c r="AO21" s="70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43">
        <f t="shared" si="1"/>
        <v>0</v>
      </c>
      <c r="BB21" s="44">
        <f>BA21/AZ11*100</f>
        <v>0</v>
      </c>
      <c r="BC21" s="35" t="str">
        <f t="shared" si="2"/>
        <v>Pengayaan</v>
      </c>
      <c r="BD21" s="68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43">
        <f t="shared" si="3"/>
        <v>0</v>
      </c>
      <c r="BQ21" s="44">
        <f>BP21/BO11*100</f>
        <v>0</v>
      </c>
      <c r="BR21" s="35" t="str">
        <f t="shared" si="4"/>
        <v>Pengayaan</v>
      </c>
    </row>
    <row r="22" spans="1:83" ht="15" customHeight="1" x14ac:dyDescent="0.35">
      <c r="A22" s="41">
        <v>11</v>
      </c>
      <c r="B22" s="113" t="s">
        <v>275</v>
      </c>
      <c r="C22" s="31"/>
      <c r="D22" s="36"/>
      <c r="E22" s="70">
        <v>70</v>
      </c>
      <c r="F22" s="2">
        <v>0</v>
      </c>
      <c r="G22" s="2">
        <v>0</v>
      </c>
      <c r="H22" s="2">
        <v>2</v>
      </c>
      <c r="I22" s="2">
        <v>2</v>
      </c>
      <c r="J22" s="2">
        <v>0</v>
      </c>
      <c r="K22" s="2"/>
      <c r="L22" s="2"/>
      <c r="M22" s="2"/>
      <c r="N22" s="2"/>
      <c r="O22" s="2"/>
      <c r="P22" s="2"/>
      <c r="Q22" s="43">
        <f t="shared" si="0"/>
        <v>4</v>
      </c>
      <c r="R22" s="44">
        <f>Q22/P11*100</f>
        <v>40</v>
      </c>
      <c r="S22" s="123" t="s">
        <v>24</v>
      </c>
      <c r="T22" s="124">
        <v>80</v>
      </c>
      <c r="U22" s="124">
        <v>80</v>
      </c>
      <c r="V22" s="125" t="s">
        <v>171</v>
      </c>
      <c r="W22" s="120"/>
      <c r="X22" s="120"/>
      <c r="Y22" s="120"/>
      <c r="Z22" s="120"/>
      <c r="AA22" s="120"/>
      <c r="AB22" s="126"/>
      <c r="AC22" s="2" t="s">
        <v>23</v>
      </c>
      <c r="AD22" s="50">
        <v>60</v>
      </c>
      <c r="AE22" s="50">
        <v>70</v>
      </c>
      <c r="AF22" s="42" t="s">
        <v>171</v>
      </c>
      <c r="AG22" s="70" t="s">
        <v>23</v>
      </c>
      <c r="AH22" s="2">
        <v>60</v>
      </c>
      <c r="AI22" s="2">
        <v>70</v>
      </c>
      <c r="AJ22" s="42" t="s">
        <v>171</v>
      </c>
      <c r="AK22" s="32"/>
      <c r="AL22" s="110"/>
      <c r="AM22" s="110"/>
      <c r="AN22" s="33"/>
      <c r="AO22" s="70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43">
        <f t="shared" si="1"/>
        <v>0</v>
      </c>
      <c r="BB22" s="44">
        <f>BA22/AZ11*100</f>
        <v>0</v>
      </c>
      <c r="BC22" s="35" t="str">
        <f t="shared" si="2"/>
        <v>Pengayaan</v>
      </c>
      <c r="BD22" s="68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43">
        <f t="shared" si="3"/>
        <v>0</v>
      </c>
      <c r="BQ22" s="44">
        <f>BP22/BO11*100</f>
        <v>0</v>
      </c>
      <c r="BR22" s="35" t="str">
        <f t="shared" si="4"/>
        <v>Pengayaan</v>
      </c>
    </row>
    <row r="23" spans="1:83" ht="15" customHeight="1" x14ac:dyDescent="0.35">
      <c r="A23" s="45">
        <v>12</v>
      </c>
      <c r="B23" s="113" t="s">
        <v>276</v>
      </c>
      <c r="C23" s="31"/>
      <c r="D23" s="36"/>
      <c r="E23" s="70">
        <v>70</v>
      </c>
      <c r="F23" s="21">
        <v>2</v>
      </c>
      <c r="G23" s="21">
        <v>0</v>
      </c>
      <c r="H23" s="21">
        <v>0</v>
      </c>
      <c r="I23" s="21">
        <v>2</v>
      </c>
      <c r="J23" s="21">
        <v>2</v>
      </c>
      <c r="K23" s="21"/>
      <c r="L23" s="21"/>
      <c r="M23" s="21"/>
      <c r="N23" s="21"/>
      <c r="O23" s="21"/>
      <c r="P23" s="2"/>
      <c r="Q23" s="43">
        <f t="shared" si="0"/>
        <v>6</v>
      </c>
      <c r="R23" s="44">
        <f>Q23/P11*100</f>
        <v>60</v>
      </c>
      <c r="S23" s="123" t="s">
        <v>24</v>
      </c>
      <c r="T23" s="124">
        <v>85</v>
      </c>
      <c r="U23" s="124">
        <v>85</v>
      </c>
      <c r="V23" s="125" t="s">
        <v>171</v>
      </c>
      <c r="W23" s="127"/>
      <c r="X23" s="127"/>
      <c r="Y23" s="127"/>
      <c r="Z23" s="127"/>
      <c r="AA23" s="127"/>
      <c r="AB23" s="128"/>
      <c r="AC23" s="21" t="s">
        <v>23</v>
      </c>
      <c r="AD23" s="50">
        <v>40</v>
      </c>
      <c r="AE23" s="50">
        <v>70</v>
      </c>
      <c r="AF23" s="42" t="s">
        <v>171</v>
      </c>
      <c r="AG23" s="70" t="s">
        <v>24</v>
      </c>
      <c r="AH23" s="21">
        <v>100</v>
      </c>
      <c r="AI23" s="21">
        <v>100</v>
      </c>
      <c r="AJ23" s="42" t="s">
        <v>171</v>
      </c>
      <c r="AK23" s="32"/>
      <c r="AL23" s="110"/>
      <c r="AM23" s="110"/>
      <c r="AN23" s="33"/>
      <c r="AO23" s="70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"/>
      <c r="BA23" s="43">
        <f t="shared" si="1"/>
        <v>0</v>
      </c>
      <c r="BB23" s="44">
        <f>BA23/AZ11*100</f>
        <v>0</v>
      </c>
      <c r="BC23" s="35" t="str">
        <f t="shared" si="2"/>
        <v>Pengayaan</v>
      </c>
      <c r="BD23" s="68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43">
        <f t="shared" si="3"/>
        <v>0</v>
      </c>
      <c r="BQ23" s="44">
        <f>BP23/BO11*100</f>
        <v>0</v>
      </c>
      <c r="BR23" s="35" t="str">
        <f t="shared" si="4"/>
        <v>Pengayaan</v>
      </c>
    </row>
    <row r="24" spans="1:83" ht="15" customHeight="1" x14ac:dyDescent="0.35">
      <c r="A24" s="41">
        <v>13</v>
      </c>
      <c r="B24" s="113" t="s">
        <v>277</v>
      </c>
      <c r="C24" s="31"/>
      <c r="D24" s="36"/>
      <c r="E24" s="70">
        <v>70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/>
      <c r="L24" s="2"/>
      <c r="M24" s="2"/>
      <c r="N24" s="2"/>
      <c r="O24" s="2"/>
      <c r="P24" s="2"/>
      <c r="Q24" s="43">
        <f>SUM(F24:J24)</f>
        <v>10</v>
      </c>
      <c r="R24" s="44">
        <f>Q24/P11*100</f>
        <v>100</v>
      </c>
      <c r="S24" s="123" t="s">
        <v>23</v>
      </c>
      <c r="T24" s="124">
        <v>55.000000000000007</v>
      </c>
      <c r="U24" s="124">
        <v>75</v>
      </c>
      <c r="V24" s="125" t="s">
        <v>171</v>
      </c>
      <c r="W24" s="120"/>
      <c r="X24" s="120"/>
      <c r="Y24" s="120"/>
      <c r="Z24" s="120"/>
      <c r="AA24" s="120"/>
      <c r="AB24" s="126"/>
      <c r="AC24" s="2" t="s">
        <v>24</v>
      </c>
      <c r="AD24" s="50">
        <v>80</v>
      </c>
      <c r="AE24" s="50">
        <v>80</v>
      </c>
      <c r="AF24" s="42" t="s">
        <v>171</v>
      </c>
      <c r="AG24" s="70" t="s">
        <v>24</v>
      </c>
      <c r="AH24" s="2">
        <v>80</v>
      </c>
      <c r="AI24" s="2">
        <v>80</v>
      </c>
      <c r="AJ24" s="42" t="s">
        <v>171</v>
      </c>
      <c r="AK24" s="32"/>
      <c r="AL24" s="110"/>
      <c r="AM24" s="110"/>
      <c r="AN24" s="33"/>
      <c r="AO24" s="70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43">
        <f t="shared" si="1"/>
        <v>0</v>
      </c>
      <c r="BB24" s="44">
        <f>BA24/AZ11*100</f>
        <v>0</v>
      </c>
      <c r="BC24" s="35" t="str">
        <f t="shared" si="2"/>
        <v>Pengayaan</v>
      </c>
      <c r="BD24" s="68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43">
        <f t="shared" si="3"/>
        <v>0</v>
      </c>
      <c r="BQ24" s="44">
        <f>BP24/BO11*100</f>
        <v>0</v>
      </c>
      <c r="BR24" s="35" t="str">
        <f t="shared" si="4"/>
        <v>Pengayaan</v>
      </c>
    </row>
    <row r="25" spans="1:83" ht="15" customHeight="1" x14ac:dyDescent="0.35">
      <c r="A25" s="45">
        <v>14</v>
      </c>
      <c r="B25" s="113" t="s">
        <v>278</v>
      </c>
      <c r="C25" s="31"/>
      <c r="D25" s="36"/>
      <c r="E25" s="70">
        <v>70</v>
      </c>
      <c r="F25" s="48">
        <v>2</v>
      </c>
      <c r="G25" s="48">
        <v>2</v>
      </c>
      <c r="H25" s="48">
        <v>2</v>
      </c>
      <c r="I25" s="48">
        <v>2</v>
      </c>
      <c r="J25" s="48">
        <v>2</v>
      </c>
      <c r="K25" s="48"/>
      <c r="L25" s="48"/>
      <c r="M25" s="48"/>
      <c r="N25" s="48"/>
      <c r="O25" s="48"/>
      <c r="P25" s="2"/>
      <c r="Q25" s="43">
        <f t="shared" si="0"/>
        <v>10</v>
      </c>
      <c r="R25" s="44">
        <f>Q25/P11*100</f>
        <v>100</v>
      </c>
      <c r="S25" s="123" t="s">
        <v>24</v>
      </c>
      <c r="T25" s="124">
        <v>90</v>
      </c>
      <c r="U25" s="124">
        <v>90</v>
      </c>
      <c r="V25" s="125" t="s">
        <v>171</v>
      </c>
      <c r="W25" s="129"/>
      <c r="X25" s="129"/>
      <c r="Y25" s="129"/>
      <c r="Z25" s="129"/>
      <c r="AA25" s="129"/>
      <c r="AB25" s="130"/>
      <c r="AC25" s="48" t="s">
        <v>24</v>
      </c>
      <c r="AD25" s="50">
        <v>80</v>
      </c>
      <c r="AE25" s="50">
        <v>80</v>
      </c>
      <c r="AF25" s="42" t="s">
        <v>171</v>
      </c>
      <c r="AG25" s="70" t="s">
        <v>24</v>
      </c>
      <c r="AH25" s="48">
        <v>100</v>
      </c>
      <c r="AI25" s="48">
        <v>100</v>
      </c>
      <c r="AJ25" s="42" t="s">
        <v>171</v>
      </c>
      <c r="AK25" s="32"/>
      <c r="AL25" s="110"/>
      <c r="AM25" s="110"/>
      <c r="AN25" s="33"/>
      <c r="AO25" s="70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2"/>
      <c r="BA25" s="43">
        <f t="shared" si="1"/>
        <v>0</v>
      </c>
      <c r="BB25" s="44">
        <f>BA25/AZ11*100</f>
        <v>0</v>
      </c>
      <c r="BC25" s="35" t="str">
        <f t="shared" si="2"/>
        <v>Pengayaan</v>
      </c>
      <c r="BD25" s="69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3">
        <f t="shared" si="3"/>
        <v>0</v>
      </c>
      <c r="BQ25" s="44">
        <f>BP25/BO11*100</f>
        <v>0</v>
      </c>
      <c r="BR25" s="35" t="str">
        <f t="shared" si="4"/>
        <v>Pengayaan</v>
      </c>
    </row>
    <row r="26" spans="1:83" ht="15" customHeight="1" x14ac:dyDescent="0.35">
      <c r="A26" s="41">
        <v>15</v>
      </c>
      <c r="B26" s="113" t="s">
        <v>279</v>
      </c>
      <c r="C26" s="31"/>
      <c r="D26" s="36"/>
      <c r="E26" s="70">
        <v>70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/>
      <c r="L26" s="2"/>
      <c r="M26" s="2"/>
      <c r="N26" s="2"/>
      <c r="O26" s="2"/>
      <c r="P26" s="2"/>
      <c r="Q26" s="43">
        <f t="shared" si="0"/>
        <v>8</v>
      </c>
      <c r="R26" s="44">
        <f>Q26/P11*100</f>
        <v>80</v>
      </c>
      <c r="S26" s="123" t="s">
        <v>24</v>
      </c>
      <c r="T26" s="124">
        <v>90</v>
      </c>
      <c r="U26" s="124">
        <v>90</v>
      </c>
      <c r="V26" s="125" t="s">
        <v>171</v>
      </c>
      <c r="W26" s="120"/>
      <c r="X26" s="120"/>
      <c r="Y26" s="120"/>
      <c r="Z26" s="120"/>
      <c r="AA26" s="120"/>
      <c r="AB26" s="126"/>
      <c r="AC26" s="2" t="s">
        <v>23</v>
      </c>
      <c r="AD26" s="50">
        <v>60</v>
      </c>
      <c r="AE26" s="50">
        <v>70</v>
      </c>
      <c r="AF26" s="42" t="s">
        <v>171</v>
      </c>
      <c r="AG26" s="70" t="s">
        <v>24</v>
      </c>
      <c r="AH26" s="2">
        <v>80</v>
      </c>
      <c r="AI26" s="2">
        <v>80</v>
      </c>
      <c r="AJ26" s="42" t="s">
        <v>171</v>
      </c>
      <c r="AK26" s="32"/>
      <c r="AL26" s="110"/>
      <c r="AM26" s="110"/>
      <c r="AN26" s="33"/>
      <c r="AO26" s="70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43">
        <f t="shared" si="1"/>
        <v>0</v>
      </c>
      <c r="BB26" s="44">
        <f>BA26/AZ11*100</f>
        <v>0</v>
      </c>
      <c r="BC26" s="35" t="str">
        <f t="shared" si="2"/>
        <v>Pengayaan</v>
      </c>
      <c r="BD26" s="68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43">
        <f t="shared" si="3"/>
        <v>0</v>
      </c>
      <c r="BQ26" s="44">
        <f>BP26/BO11*100</f>
        <v>0</v>
      </c>
      <c r="BR26" s="35" t="str">
        <f t="shared" si="4"/>
        <v>Pengayaan</v>
      </c>
    </row>
    <row r="27" spans="1:83" ht="15" customHeight="1" x14ac:dyDescent="0.35">
      <c r="A27" s="45">
        <v>16</v>
      </c>
      <c r="B27" s="113" t="s">
        <v>280</v>
      </c>
      <c r="C27" s="31"/>
      <c r="D27" s="36"/>
      <c r="E27" s="70">
        <v>70</v>
      </c>
      <c r="F27" s="50">
        <v>0</v>
      </c>
      <c r="G27" s="50">
        <v>0</v>
      </c>
      <c r="H27" s="50">
        <v>0</v>
      </c>
      <c r="I27" s="50">
        <v>2</v>
      </c>
      <c r="J27" s="50">
        <v>2</v>
      </c>
      <c r="K27" s="50"/>
      <c r="L27" s="50"/>
      <c r="M27" s="50"/>
      <c r="N27" s="50"/>
      <c r="O27" s="50"/>
      <c r="P27" s="2"/>
      <c r="Q27" s="43">
        <f t="shared" si="0"/>
        <v>4</v>
      </c>
      <c r="R27" s="44">
        <f>Q27/P11*100</f>
        <v>40</v>
      </c>
      <c r="S27" s="123" t="s">
        <v>24</v>
      </c>
      <c r="T27" s="124">
        <v>85</v>
      </c>
      <c r="U27" s="124">
        <v>85</v>
      </c>
      <c r="V27" s="125" t="s">
        <v>171</v>
      </c>
      <c r="W27" s="131"/>
      <c r="X27" s="131"/>
      <c r="Y27" s="131"/>
      <c r="Z27" s="131"/>
      <c r="AA27" s="131"/>
      <c r="AB27" s="131"/>
      <c r="AC27" s="50" t="s">
        <v>23</v>
      </c>
      <c r="AD27" s="50">
        <v>60</v>
      </c>
      <c r="AE27" s="50">
        <v>70</v>
      </c>
      <c r="AF27" s="42" t="s">
        <v>171</v>
      </c>
      <c r="AG27" s="70" t="s">
        <v>24</v>
      </c>
      <c r="AH27" s="50">
        <v>100</v>
      </c>
      <c r="AI27" s="50">
        <v>100</v>
      </c>
      <c r="AJ27" s="42" t="s">
        <v>171</v>
      </c>
      <c r="AK27" s="32"/>
      <c r="AL27" s="110"/>
      <c r="AM27" s="110"/>
      <c r="AN27" s="33"/>
      <c r="AO27" s="7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2"/>
      <c r="BA27" s="43">
        <f t="shared" si="1"/>
        <v>0</v>
      </c>
      <c r="BB27" s="44">
        <f>BA27/AZ11*100</f>
        <v>0</v>
      </c>
      <c r="BC27" s="35" t="str">
        <f t="shared" si="2"/>
        <v>Pengayaan</v>
      </c>
      <c r="BD27" s="67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43">
        <f t="shared" si="3"/>
        <v>0</v>
      </c>
      <c r="BQ27" s="44">
        <f>BP27/BO11*100</f>
        <v>0</v>
      </c>
      <c r="BR27" s="35" t="str">
        <f t="shared" si="4"/>
        <v>Pengayaan</v>
      </c>
    </row>
    <row r="28" spans="1:83" ht="15" customHeight="1" x14ac:dyDescent="0.35">
      <c r="A28" s="41">
        <v>17</v>
      </c>
      <c r="B28" s="113" t="s">
        <v>281</v>
      </c>
      <c r="C28" s="31"/>
      <c r="D28" s="36"/>
      <c r="E28" s="70">
        <v>70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48"/>
      <c r="L28" s="48"/>
      <c r="M28" s="48"/>
      <c r="N28" s="48"/>
      <c r="O28" s="48"/>
      <c r="P28" s="2"/>
      <c r="Q28" s="43">
        <f t="shared" si="0"/>
        <v>10</v>
      </c>
      <c r="R28" s="44">
        <f>Q28/P11*100</f>
        <v>100</v>
      </c>
      <c r="S28" s="123" t="s">
        <v>24</v>
      </c>
      <c r="T28" s="124">
        <v>90</v>
      </c>
      <c r="U28" s="124">
        <v>90</v>
      </c>
      <c r="V28" s="125" t="s">
        <v>171</v>
      </c>
      <c r="W28" s="129"/>
      <c r="X28" s="129"/>
      <c r="Y28" s="129"/>
      <c r="Z28" s="129"/>
      <c r="AA28" s="129"/>
      <c r="AB28" s="130"/>
      <c r="AC28" s="48" t="s">
        <v>23</v>
      </c>
      <c r="AD28" s="50">
        <v>60</v>
      </c>
      <c r="AE28" s="50">
        <v>70</v>
      </c>
      <c r="AF28" s="42" t="s">
        <v>171</v>
      </c>
      <c r="AG28" s="70" t="s">
        <v>24</v>
      </c>
      <c r="AH28" s="2">
        <v>100</v>
      </c>
      <c r="AI28" s="2">
        <v>100</v>
      </c>
      <c r="AJ28" s="42" t="s">
        <v>171</v>
      </c>
      <c r="AK28" s="32"/>
      <c r="AL28" s="110"/>
      <c r="AM28" s="110"/>
      <c r="AN28" s="33"/>
      <c r="AO28" s="70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2"/>
      <c r="BA28" s="43">
        <f t="shared" si="1"/>
        <v>0</v>
      </c>
      <c r="BB28" s="44">
        <f>BA28/AZ11*100</f>
        <v>0</v>
      </c>
      <c r="BC28" s="35" t="str">
        <f t="shared" si="2"/>
        <v>Pengayaan</v>
      </c>
      <c r="BD28" s="69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3">
        <f t="shared" si="3"/>
        <v>0</v>
      </c>
      <c r="BQ28" s="44">
        <f>BP28/BO11*100</f>
        <v>0</v>
      </c>
      <c r="BR28" s="35" t="str">
        <f t="shared" si="4"/>
        <v>Pengayaan</v>
      </c>
    </row>
    <row r="29" spans="1:83" s="38" customFormat="1" ht="15" customHeight="1" x14ac:dyDescent="0.35">
      <c r="A29" s="55"/>
      <c r="B29" s="36"/>
      <c r="C29" s="36"/>
      <c r="D29" s="36"/>
      <c r="E29" s="36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6"/>
      <c r="R29" s="57"/>
      <c r="S29" s="101"/>
      <c r="T29" s="5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02"/>
      <c r="AF29" s="101"/>
      <c r="AG29" s="36"/>
      <c r="AH29" s="18"/>
      <c r="AI29" s="18"/>
      <c r="AJ29" s="18"/>
      <c r="AK29" s="37"/>
      <c r="AL29" s="37"/>
      <c r="AM29" s="37"/>
      <c r="AN29" s="37"/>
      <c r="AO29" s="36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56"/>
      <c r="BB29" s="57"/>
      <c r="BC29" s="58"/>
      <c r="BD29" s="5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56"/>
      <c r="BQ29" s="57"/>
      <c r="BR29" s="58"/>
      <c r="BS29" s="37"/>
      <c r="BT29" s="37"/>
      <c r="BU29" s="37"/>
      <c r="BV29" s="37"/>
      <c r="BY29"/>
      <c r="BZ29"/>
      <c r="CA29"/>
      <c r="CB29"/>
      <c r="CC29"/>
      <c r="CD29"/>
      <c r="CE29"/>
    </row>
    <row r="30" spans="1:83" s="38" customFormat="1" ht="15" customHeight="1" x14ac:dyDescent="0.35">
      <c r="A30" s="55"/>
      <c r="B30" s="36"/>
      <c r="C30" s="36"/>
      <c r="D30" s="36"/>
      <c r="E30" s="36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6"/>
      <c r="R30" s="57"/>
      <c r="S30" s="101"/>
      <c r="T30" s="5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02"/>
      <c r="AF30" s="101"/>
      <c r="AG30" s="36"/>
      <c r="AH30" s="18"/>
      <c r="AI30" s="18"/>
      <c r="AJ30" s="18"/>
      <c r="AK30" s="37"/>
      <c r="AL30" s="37"/>
      <c r="AM30" s="37"/>
      <c r="AN30" s="37"/>
      <c r="AO30" s="36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56"/>
      <c r="BB30" s="57"/>
      <c r="BC30" s="58"/>
      <c r="BD30" s="5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56"/>
      <c r="BQ30" s="57"/>
      <c r="BR30" s="58"/>
      <c r="BS30" s="37"/>
      <c r="BT30" s="37"/>
      <c r="BU30" s="37"/>
      <c r="BV30" s="37"/>
      <c r="BY30"/>
      <c r="BZ30"/>
      <c r="CA30"/>
      <c r="CB30"/>
      <c r="CC30"/>
      <c r="CD30"/>
      <c r="CE30"/>
    </row>
    <row r="31" spans="1:83" s="61" customFormat="1" ht="15" customHeight="1" x14ac:dyDescent="0.3">
      <c r="A31" s="59"/>
      <c r="B31" s="59" t="s">
        <v>11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 t="s">
        <v>238</v>
      </c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 t="s">
        <v>238</v>
      </c>
      <c r="AH31" s="59"/>
      <c r="AI31" s="59"/>
      <c r="AJ31" s="59"/>
      <c r="AK31" s="59"/>
      <c r="AL31" s="59"/>
      <c r="AM31" s="59"/>
      <c r="AN31" s="59"/>
      <c r="AO31" s="59"/>
      <c r="AP31" s="59"/>
      <c r="AQ31" s="59">
        <f>AI31</f>
        <v>0</v>
      </c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 t="e">
        <f>#REF!</f>
        <v>#REF!</v>
      </c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</row>
    <row r="32" spans="1:83" s="61" customFormat="1" ht="15" customHeight="1" x14ac:dyDescent="0.3">
      <c r="A32" s="59"/>
      <c r="B32" s="59" t="s">
        <v>156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 t="s">
        <v>237</v>
      </c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 t="s">
        <v>237</v>
      </c>
      <c r="AH32" s="59"/>
      <c r="AI32" s="59"/>
      <c r="AJ32" s="59"/>
      <c r="AK32" s="59"/>
      <c r="AL32" s="59"/>
      <c r="AM32" s="59"/>
      <c r="AN32" s="59"/>
      <c r="AO32" s="59"/>
      <c r="AP32" s="59"/>
      <c r="AQ32" s="59">
        <f>AI32</f>
        <v>0</v>
      </c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 t="e">
        <f>#REF!</f>
        <v>#REF!</v>
      </c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</row>
    <row r="33" spans="1:83" s="61" customFormat="1" ht="15" customHeight="1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</row>
    <row r="34" spans="1:83" s="61" customFormat="1" ht="15" customHeight="1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</row>
    <row r="35" spans="1:83" s="61" customFormat="1" ht="15" customHeight="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</row>
    <row r="36" spans="1:83" s="61" customFormat="1" ht="15" customHeight="1" x14ac:dyDescent="0.3">
      <c r="A36" s="59"/>
      <c r="B36" s="71" t="s">
        <v>72</v>
      </c>
      <c r="C36" s="71"/>
      <c r="D36" s="71"/>
      <c r="E36" s="71"/>
      <c r="F36" s="59"/>
      <c r="G36" s="71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71" t="s">
        <v>157</v>
      </c>
      <c r="V36" s="71"/>
      <c r="W36" s="71"/>
      <c r="X36" s="71"/>
      <c r="Y36" s="59"/>
      <c r="Z36" s="59"/>
      <c r="AA36" s="59"/>
      <c r="AB36" s="59"/>
      <c r="AC36" s="59"/>
      <c r="AD36" s="59"/>
      <c r="AE36" s="59"/>
      <c r="AF36" s="59"/>
      <c r="AG36" s="71" t="s">
        <v>157</v>
      </c>
      <c r="AH36" s="71"/>
      <c r="AI36" s="71"/>
      <c r="AJ36" s="71"/>
      <c r="AK36" s="59"/>
      <c r="AL36" s="59"/>
      <c r="AM36" s="59"/>
      <c r="AN36" s="59"/>
      <c r="AO36" s="71"/>
      <c r="AP36" s="59"/>
      <c r="AQ36" s="71">
        <f>AI36</f>
        <v>0</v>
      </c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71" t="e">
        <f>#REF!</f>
        <v>#REF!</v>
      </c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</row>
    <row r="37" spans="1:83" s="61" customFormat="1" ht="15" customHeight="1" x14ac:dyDescent="0.3">
      <c r="A37" s="59"/>
      <c r="B37" s="60" t="s">
        <v>73</v>
      </c>
      <c r="C37" s="60"/>
      <c r="D37" s="60"/>
      <c r="E37" s="60"/>
      <c r="F37" s="59"/>
      <c r="G37" s="60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60" t="s">
        <v>158</v>
      </c>
      <c r="V37" s="60"/>
      <c r="W37" s="60"/>
      <c r="X37" s="60"/>
      <c r="Y37" s="59"/>
      <c r="Z37" s="59"/>
      <c r="AA37" s="59"/>
      <c r="AB37" s="59"/>
      <c r="AC37" s="59"/>
      <c r="AD37" s="59"/>
      <c r="AE37" s="59"/>
      <c r="AF37" s="59"/>
      <c r="AG37" s="60" t="s">
        <v>158</v>
      </c>
      <c r="AH37" s="60"/>
      <c r="AI37" s="60"/>
      <c r="AJ37" s="60"/>
      <c r="AK37" s="59"/>
      <c r="AL37" s="59"/>
      <c r="AM37" s="59"/>
      <c r="AN37" s="59"/>
      <c r="AO37" s="60"/>
      <c r="AP37" s="59"/>
      <c r="AQ37" s="60">
        <f>AI37</f>
        <v>0</v>
      </c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60" t="e">
        <f>#REF!</f>
        <v>#REF!</v>
      </c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</row>
    <row r="38" spans="1:83" s="38" customFormat="1" ht="15" customHeight="1" x14ac:dyDescent="0.3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Y38"/>
      <c r="BZ38"/>
      <c r="CA38"/>
      <c r="CB38"/>
      <c r="CC38"/>
      <c r="CD38"/>
      <c r="CE38"/>
    </row>
    <row r="39" spans="1:83" s="38" customFormat="1" ht="15" customHeight="1" x14ac:dyDescent="0.3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Y39"/>
      <c r="BZ39"/>
      <c r="CA39"/>
      <c r="CB39"/>
      <c r="CC39"/>
      <c r="CD39"/>
      <c r="CE39"/>
    </row>
    <row r="40" spans="1:83" s="38" customFormat="1" ht="15" customHeight="1" x14ac:dyDescent="0.3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Y40"/>
      <c r="BZ40"/>
      <c r="CA40"/>
      <c r="CB40"/>
      <c r="CC40"/>
      <c r="CD40"/>
      <c r="CE40"/>
    </row>
    <row r="41" spans="1:83" s="38" customFormat="1" ht="14.4" customHeight="1" x14ac:dyDescent="0.3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Y41"/>
      <c r="BZ41"/>
      <c r="CA41"/>
      <c r="CB41"/>
      <c r="CC41"/>
      <c r="CD41"/>
      <c r="CE41"/>
    </row>
    <row r="42" spans="1:83" s="38" customFormat="1" ht="14.4" customHeight="1" x14ac:dyDescent="0.3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Y42"/>
      <c r="BZ42"/>
      <c r="CA42"/>
      <c r="CB42"/>
      <c r="CC42"/>
      <c r="CD42"/>
      <c r="CE42"/>
    </row>
    <row r="43" spans="1:83" s="38" customFormat="1" ht="14.4" customHeight="1" x14ac:dyDescent="0.3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Y43"/>
      <c r="BZ43"/>
      <c r="CA43"/>
      <c r="CB43"/>
      <c r="CC43"/>
      <c r="CD43"/>
      <c r="CE43"/>
    </row>
    <row r="44" spans="1:83" s="38" customFormat="1" ht="14.4" customHeight="1" x14ac:dyDescent="0.3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Y44"/>
      <c r="BZ44"/>
      <c r="CA44"/>
      <c r="CB44"/>
      <c r="CC44"/>
      <c r="CD44"/>
      <c r="CE44"/>
    </row>
    <row r="45" spans="1:83" s="38" customFormat="1" ht="14.4" customHeight="1" x14ac:dyDescent="0.3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Y45"/>
      <c r="BZ45"/>
      <c r="CA45"/>
      <c r="CB45"/>
      <c r="CC45"/>
      <c r="CD45"/>
      <c r="CE45"/>
    </row>
    <row r="46" spans="1:83" s="38" customFormat="1" ht="14.4" customHeight="1" x14ac:dyDescent="0.3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Y46"/>
      <c r="BZ46"/>
      <c r="CA46"/>
      <c r="CB46"/>
      <c r="CC46"/>
      <c r="CD46"/>
      <c r="CE46"/>
    </row>
    <row r="47" spans="1:83" s="38" customFormat="1" ht="14.4" customHeight="1" x14ac:dyDescent="0.3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Y47"/>
      <c r="BZ47"/>
      <c r="CA47"/>
      <c r="CB47"/>
      <c r="CC47"/>
      <c r="CD47"/>
      <c r="CE47"/>
    </row>
    <row r="48" spans="1:83" s="38" customFormat="1" ht="14.4" customHeight="1" x14ac:dyDescent="0.3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Y48"/>
      <c r="BZ48"/>
      <c r="CA48"/>
      <c r="CB48"/>
      <c r="CC48"/>
      <c r="CD48"/>
      <c r="CE48"/>
    </row>
    <row r="49" spans="75:83" s="37" customFormat="1" ht="14.4" customHeight="1" x14ac:dyDescent="0.35">
      <c r="BW49" s="38"/>
      <c r="BX49" s="38"/>
      <c r="BY49"/>
      <c r="BZ49"/>
      <c r="CA49"/>
      <c r="CB49"/>
      <c r="CC49"/>
      <c r="CD49"/>
      <c r="CE49"/>
    </row>
    <row r="50" spans="75:83" s="37" customFormat="1" ht="14.4" customHeight="1" x14ac:dyDescent="0.35">
      <c r="BW50" s="38"/>
      <c r="BX50" s="38"/>
      <c r="BY50"/>
      <c r="BZ50"/>
      <c r="CA50"/>
      <c r="CB50"/>
      <c r="CC50"/>
      <c r="CD50"/>
      <c r="CE50"/>
    </row>
    <row r="51" spans="75:83" s="37" customFormat="1" ht="14.4" customHeight="1" x14ac:dyDescent="0.35">
      <c r="BW51" s="38"/>
      <c r="BX51" s="38"/>
      <c r="BY51"/>
      <c r="BZ51"/>
      <c r="CA51"/>
      <c r="CB51"/>
      <c r="CC51"/>
      <c r="CD51"/>
      <c r="CE51"/>
    </row>
    <row r="52" spans="75:83" s="37" customFormat="1" ht="14.4" customHeight="1" x14ac:dyDescent="0.35">
      <c r="BW52" s="38"/>
      <c r="BX52" s="38"/>
      <c r="BY52"/>
      <c r="BZ52"/>
      <c r="CA52"/>
      <c r="CB52"/>
      <c r="CC52"/>
      <c r="CD52"/>
      <c r="CE52"/>
    </row>
    <row r="53" spans="75:83" s="37" customFormat="1" ht="14.4" customHeight="1" x14ac:dyDescent="0.35">
      <c r="BW53" s="38"/>
      <c r="BX53" s="38"/>
      <c r="BY53"/>
      <c r="BZ53"/>
      <c r="CA53"/>
      <c r="CB53"/>
      <c r="CC53"/>
      <c r="CD53"/>
      <c r="CE53"/>
    </row>
    <row r="54" spans="75:83" s="37" customFormat="1" ht="14.4" customHeight="1" x14ac:dyDescent="0.35">
      <c r="BW54" s="38"/>
      <c r="BX54" s="38"/>
      <c r="BY54"/>
      <c r="BZ54"/>
      <c r="CA54"/>
      <c r="CB54"/>
      <c r="CC54"/>
      <c r="CD54"/>
      <c r="CE54"/>
    </row>
    <row r="55" spans="75:83" s="37" customFormat="1" ht="14.4" customHeight="1" x14ac:dyDescent="0.35">
      <c r="BW55" s="38"/>
      <c r="BX55" s="38"/>
      <c r="BY55"/>
      <c r="BZ55"/>
      <c r="CA55"/>
      <c r="CB55"/>
      <c r="CC55"/>
      <c r="CD55"/>
      <c r="CE55"/>
    </row>
    <row r="56" spans="75:83" s="37" customFormat="1" ht="14.4" customHeight="1" x14ac:dyDescent="0.35">
      <c r="BW56" s="38"/>
      <c r="BX56" s="38"/>
      <c r="BY56"/>
      <c r="BZ56"/>
      <c r="CA56"/>
      <c r="CB56"/>
      <c r="CC56"/>
      <c r="CD56"/>
      <c r="CE56"/>
    </row>
    <row r="57" spans="75:83" s="37" customFormat="1" ht="14.4" customHeight="1" x14ac:dyDescent="0.35">
      <c r="BW57" s="38"/>
      <c r="BX57" s="38"/>
      <c r="BY57"/>
      <c r="BZ57"/>
      <c r="CA57"/>
      <c r="CB57"/>
      <c r="CC57"/>
      <c r="CD57"/>
      <c r="CE57"/>
    </row>
    <row r="58" spans="75:83" s="37" customFormat="1" ht="14.4" customHeight="1" x14ac:dyDescent="0.35">
      <c r="BW58" s="38"/>
      <c r="BX58" s="38"/>
      <c r="BY58"/>
      <c r="BZ58"/>
      <c r="CA58"/>
      <c r="CB58"/>
      <c r="CC58"/>
      <c r="CD58"/>
      <c r="CE58"/>
    </row>
    <row r="59" spans="75:83" s="37" customFormat="1" ht="14.4" customHeight="1" x14ac:dyDescent="0.35">
      <c r="BW59" s="38"/>
      <c r="BX59" s="38"/>
      <c r="BY59"/>
      <c r="BZ59"/>
      <c r="CA59"/>
      <c r="CB59"/>
      <c r="CC59"/>
      <c r="CD59"/>
      <c r="CE59"/>
    </row>
    <row r="60" spans="75:83" s="37" customFormat="1" ht="14.4" customHeight="1" x14ac:dyDescent="0.35">
      <c r="BW60" s="38"/>
      <c r="BX60" s="38"/>
      <c r="BY60"/>
      <c r="BZ60"/>
      <c r="CA60"/>
      <c r="CB60"/>
      <c r="CC60"/>
      <c r="CD60"/>
      <c r="CE60"/>
    </row>
    <row r="61" spans="75:83" s="37" customFormat="1" ht="14.4" customHeight="1" x14ac:dyDescent="0.35">
      <c r="BW61" s="38"/>
      <c r="BX61" s="38"/>
      <c r="BY61"/>
      <c r="BZ61"/>
      <c r="CA61"/>
      <c r="CB61"/>
      <c r="CC61"/>
      <c r="CD61"/>
      <c r="CE61"/>
    </row>
    <row r="62" spans="75:83" s="37" customFormat="1" ht="14.4" customHeight="1" x14ac:dyDescent="0.35">
      <c r="BW62" s="38"/>
      <c r="BX62" s="38"/>
      <c r="BY62"/>
      <c r="BZ62"/>
      <c r="CA62"/>
      <c r="CB62"/>
      <c r="CC62"/>
      <c r="CD62"/>
      <c r="CE62"/>
    </row>
    <row r="63" spans="75:83" s="37" customFormat="1" ht="15.75" customHeight="1" x14ac:dyDescent="0.35">
      <c r="BW63" s="38"/>
      <c r="BX63" s="38"/>
      <c r="BY63"/>
      <c r="BZ63"/>
      <c r="CA63"/>
      <c r="CB63"/>
      <c r="CC63"/>
      <c r="CD63"/>
      <c r="CE63"/>
    </row>
    <row r="64" spans="75:83" s="37" customFormat="1" ht="15.75" customHeight="1" x14ac:dyDescent="0.35">
      <c r="BW64" s="38"/>
      <c r="BX64" s="38"/>
      <c r="BY64"/>
      <c r="BZ64"/>
      <c r="CA64"/>
      <c r="CB64"/>
      <c r="CC64"/>
      <c r="CD64"/>
      <c r="CE64"/>
    </row>
    <row r="65" spans="75:83" s="37" customFormat="1" ht="15.75" customHeight="1" x14ac:dyDescent="0.35">
      <c r="BW65" s="38"/>
      <c r="BX65" s="38"/>
      <c r="BY65"/>
      <c r="BZ65"/>
      <c r="CA65"/>
      <c r="CB65"/>
      <c r="CC65"/>
      <c r="CD65"/>
      <c r="CE65"/>
    </row>
    <row r="66" spans="75:83" s="37" customFormat="1" ht="15.75" customHeight="1" x14ac:dyDescent="0.35">
      <c r="BW66" s="38"/>
      <c r="BX66" s="38"/>
      <c r="BY66"/>
      <c r="BZ66"/>
      <c r="CA66"/>
      <c r="CB66"/>
      <c r="CC66"/>
      <c r="CD66"/>
      <c r="CE66"/>
    </row>
    <row r="67" spans="75:83" s="37" customFormat="1" ht="15.75" customHeight="1" x14ac:dyDescent="0.35">
      <c r="BW67" s="38"/>
      <c r="BX67" s="38"/>
      <c r="BY67"/>
      <c r="BZ67"/>
      <c r="CA67"/>
      <c r="CB67"/>
      <c r="CC67"/>
      <c r="CD67"/>
      <c r="CE67"/>
    </row>
    <row r="68" spans="75:83" s="37" customFormat="1" ht="15.75" customHeight="1" x14ac:dyDescent="0.35">
      <c r="BW68" s="38"/>
      <c r="BX68" s="38"/>
      <c r="BY68"/>
      <c r="BZ68"/>
      <c r="CA68"/>
      <c r="CB68"/>
      <c r="CC68"/>
      <c r="CD68"/>
      <c r="CE68"/>
    </row>
    <row r="69" spans="75:83" s="37" customFormat="1" ht="15.75" customHeight="1" x14ac:dyDescent="0.35">
      <c r="BW69" s="38"/>
      <c r="BX69" s="38"/>
      <c r="BY69"/>
      <c r="BZ69"/>
      <c r="CA69"/>
      <c r="CB69"/>
      <c r="CC69"/>
      <c r="CD69"/>
      <c r="CE69"/>
    </row>
    <row r="70" spans="75:83" s="37" customFormat="1" ht="15.75" customHeight="1" x14ac:dyDescent="0.35">
      <c r="BW70" s="38"/>
      <c r="BX70" s="38"/>
      <c r="BY70"/>
      <c r="BZ70"/>
      <c r="CA70"/>
      <c r="CB70"/>
      <c r="CC70"/>
      <c r="CD70"/>
      <c r="CE70"/>
    </row>
    <row r="71" spans="75:83" s="37" customFormat="1" ht="15.75" customHeight="1" x14ac:dyDescent="0.35">
      <c r="BW71" s="38"/>
      <c r="BX71" s="38"/>
      <c r="BY71"/>
      <c r="BZ71"/>
      <c r="CA71"/>
      <c r="CB71"/>
      <c r="CC71"/>
      <c r="CD71"/>
      <c r="CE71"/>
    </row>
    <row r="72" spans="75:83" s="37" customFormat="1" ht="15.75" customHeight="1" x14ac:dyDescent="0.35">
      <c r="BW72" s="38"/>
      <c r="BX72" s="38"/>
      <c r="BY72"/>
      <c r="BZ72"/>
      <c r="CA72"/>
      <c r="CB72"/>
      <c r="CC72"/>
      <c r="CD72"/>
      <c r="CE72"/>
    </row>
    <row r="73" spans="75:83" s="37" customFormat="1" ht="15.75" customHeight="1" x14ac:dyDescent="0.35">
      <c r="BW73" s="38"/>
      <c r="BX73" s="38"/>
      <c r="BY73"/>
      <c r="BZ73"/>
      <c r="CA73"/>
      <c r="CB73"/>
      <c r="CC73"/>
      <c r="CD73"/>
      <c r="CE73"/>
    </row>
    <row r="74" spans="75:83" s="37" customFormat="1" ht="15.75" customHeight="1" x14ac:dyDescent="0.35">
      <c r="BW74" s="38"/>
      <c r="BX74" s="38"/>
      <c r="BY74"/>
      <c r="BZ74"/>
      <c r="CA74"/>
      <c r="CB74"/>
      <c r="CC74"/>
      <c r="CD74"/>
      <c r="CE74"/>
    </row>
    <row r="75" spans="75:83" s="37" customFormat="1" ht="15.75" customHeight="1" x14ac:dyDescent="0.35">
      <c r="BW75" s="38"/>
      <c r="BX75" s="38"/>
      <c r="BY75"/>
      <c r="BZ75"/>
      <c r="CA75"/>
      <c r="CB75"/>
      <c r="CC75"/>
      <c r="CD75"/>
      <c r="CE75"/>
    </row>
    <row r="76" spans="75:83" s="37" customFormat="1" ht="15.75" customHeight="1" x14ac:dyDescent="0.35">
      <c r="BW76" s="38"/>
      <c r="BX76" s="38"/>
      <c r="BY76"/>
      <c r="BZ76"/>
      <c r="CA76"/>
      <c r="CB76"/>
      <c r="CC76"/>
      <c r="CD76"/>
      <c r="CE76"/>
    </row>
    <row r="77" spans="75:83" s="37" customFormat="1" ht="15.75" customHeight="1" x14ac:dyDescent="0.35">
      <c r="BW77" s="38"/>
      <c r="BX77" s="38"/>
      <c r="BY77"/>
      <c r="BZ77"/>
      <c r="CA77"/>
      <c r="CB77"/>
      <c r="CC77"/>
      <c r="CD77"/>
      <c r="CE77"/>
    </row>
    <row r="78" spans="75:83" s="37" customFormat="1" ht="15.75" customHeight="1" x14ac:dyDescent="0.35">
      <c r="BW78" s="38"/>
      <c r="BX78" s="38"/>
      <c r="BY78"/>
      <c r="BZ78"/>
      <c r="CA78"/>
      <c r="CB78"/>
      <c r="CC78"/>
      <c r="CD78"/>
      <c r="CE78"/>
    </row>
    <row r="79" spans="75:83" s="37" customFormat="1" ht="15.75" customHeight="1" x14ac:dyDescent="0.35">
      <c r="BW79" s="38"/>
      <c r="BX79" s="38"/>
      <c r="BY79"/>
      <c r="BZ79"/>
      <c r="CA79"/>
      <c r="CB79"/>
      <c r="CC79"/>
      <c r="CD79"/>
      <c r="CE79"/>
    </row>
    <row r="80" spans="75:83" s="37" customFormat="1" ht="15.75" customHeight="1" x14ac:dyDescent="0.35">
      <c r="BW80" s="38"/>
      <c r="BX80" s="38"/>
      <c r="BY80"/>
      <c r="BZ80"/>
      <c r="CA80"/>
      <c r="CB80"/>
      <c r="CC80"/>
      <c r="CD80"/>
      <c r="CE80"/>
    </row>
    <row r="81" spans="75:83" s="37" customFormat="1" ht="15.75" customHeight="1" x14ac:dyDescent="0.35">
      <c r="BW81" s="38"/>
      <c r="BX81" s="38"/>
      <c r="BY81"/>
      <c r="BZ81"/>
      <c r="CA81"/>
      <c r="CB81"/>
      <c r="CC81"/>
      <c r="CD81"/>
      <c r="CE81"/>
    </row>
    <row r="82" spans="75:83" s="37" customFormat="1" ht="15.75" customHeight="1" x14ac:dyDescent="0.35">
      <c r="BW82" s="38"/>
      <c r="BX82" s="38"/>
      <c r="BY82"/>
      <c r="BZ82"/>
      <c r="CA82"/>
      <c r="CB82"/>
      <c r="CC82"/>
      <c r="CD82"/>
      <c r="CE82"/>
    </row>
    <row r="83" spans="75:83" s="37" customFormat="1" ht="15.75" customHeight="1" x14ac:dyDescent="0.35">
      <c r="BW83" s="38"/>
      <c r="BX83" s="38"/>
      <c r="BY83"/>
      <c r="BZ83"/>
      <c r="CA83"/>
      <c r="CB83"/>
      <c r="CC83"/>
      <c r="CD83"/>
      <c r="CE83"/>
    </row>
    <row r="84" spans="75:83" s="37" customFormat="1" ht="15.75" customHeight="1" x14ac:dyDescent="0.35">
      <c r="BW84" s="38"/>
      <c r="BX84" s="38"/>
      <c r="BY84"/>
      <c r="BZ84"/>
      <c r="CA84"/>
      <c r="CB84"/>
      <c r="CC84"/>
      <c r="CD84"/>
      <c r="CE84"/>
    </row>
    <row r="85" spans="75:83" s="37" customFormat="1" ht="15.75" customHeight="1" x14ac:dyDescent="0.35">
      <c r="BW85" s="38"/>
      <c r="BX85" s="38"/>
      <c r="BY85"/>
      <c r="BZ85"/>
      <c r="CA85"/>
      <c r="CB85"/>
      <c r="CC85"/>
      <c r="CD85"/>
      <c r="CE85"/>
    </row>
    <row r="86" spans="75:83" s="37" customFormat="1" ht="15.75" customHeight="1" x14ac:dyDescent="0.35">
      <c r="BW86" s="38"/>
      <c r="BX86" s="38"/>
      <c r="BY86"/>
      <c r="BZ86"/>
      <c r="CA86"/>
      <c r="CB86"/>
      <c r="CC86"/>
      <c r="CD86"/>
      <c r="CE86"/>
    </row>
    <row r="87" spans="75:83" s="37" customFormat="1" ht="15.75" customHeight="1" x14ac:dyDescent="0.35">
      <c r="BW87" s="38"/>
      <c r="BX87" s="38"/>
      <c r="BY87"/>
      <c r="BZ87"/>
      <c r="CA87"/>
      <c r="CB87"/>
      <c r="CC87"/>
      <c r="CD87"/>
      <c r="CE87"/>
    </row>
    <row r="88" spans="75:83" s="37" customFormat="1" ht="15.75" customHeight="1" x14ac:dyDescent="0.35">
      <c r="BW88" s="38"/>
      <c r="BX88" s="38"/>
      <c r="BY88"/>
      <c r="BZ88"/>
      <c r="CA88"/>
      <c r="CB88"/>
      <c r="CC88"/>
      <c r="CD88"/>
      <c r="CE88"/>
    </row>
  </sheetData>
  <mergeCells count="38">
    <mergeCell ref="F1:AF1"/>
    <mergeCell ref="AH1:AJ1"/>
    <mergeCell ref="AP1:BR1"/>
    <mergeCell ref="F2:AF2"/>
    <mergeCell ref="AH2:AJ2"/>
    <mergeCell ref="AP2:BR2"/>
    <mergeCell ref="A8:A10"/>
    <mergeCell ref="B8:B10"/>
    <mergeCell ref="S8:V8"/>
    <mergeCell ref="AC8:AF8"/>
    <mergeCell ref="AO8:BC8"/>
    <mergeCell ref="AE9:AE11"/>
    <mergeCell ref="AF9:AF11"/>
    <mergeCell ref="AG9:AG11"/>
    <mergeCell ref="AH9:AH11"/>
    <mergeCell ref="BD8:BR8"/>
    <mergeCell ref="E9:E11"/>
    <mergeCell ref="Q9:Q10"/>
    <mergeCell ref="R9:R10"/>
    <mergeCell ref="S9:S11"/>
    <mergeCell ref="T9:T11"/>
    <mergeCell ref="U9:U11"/>
    <mergeCell ref="V9:V11"/>
    <mergeCell ref="AC9:AC11"/>
    <mergeCell ref="AD9:AD11"/>
    <mergeCell ref="BD9:BD11"/>
    <mergeCell ref="BP9:BP10"/>
    <mergeCell ref="BQ9:BQ10"/>
    <mergeCell ref="BR9:BR10"/>
    <mergeCell ref="F10:O10"/>
    <mergeCell ref="AP10:AY10"/>
    <mergeCell ref="BE10:BN10"/>
    <mergeCell ref="AI9:AI11"/>
    <mergeCell ref="AJ9:AJ11"/>
    <mergeCell ref="AO9:AO11"/>
    <mergeCell ref="BA9:BA10"/>
    <mergeCell ref="BB9:BB10"/>
    <mergeCell ref="BC9:BC10"/>
  </mergeCells>
  <pageMargins left="0.62992125984251968" right="0.19685039370078741" top="0.74803149606299213" bottom="1.3385826771653544" header="0.31496062992125984" footer="0.31496062992125984"/>
  <pageSetup paperSize="14" scale="8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4030-1E44-4087-A717-A000E1CD85EB}">
  <dimension ref="A1:BX104"/>
  <sheetViews>
    <sheetView zoomScaleNormal="100" workbookViewId="0">
      <selection activeCell="AG47" sqref="AG47:AJ53"/>
    </sheetView>
  </sheetViews>
  <sheetFormatPr defaultRowHeight="14.5" x14ac:dyDescent="0.35"/>
  <cols>
    <col min="1" max="1" width="3.81640625" style="37" customWidth="1"/>
    <col min="2" max="2" width="16" style="37" customWidth="1"/>
    <col min="3" max="3" width="22.453125" style="37" customWidth="1"/>
    <col min="4" max="4" width="1.90625" style="37" customWidth="1"/>
    <col min="5" max="5" width="0.81640625" style="37" customWidth="1"/>
    <col min="6" max="6" width="3" style="37" hidden="1" customWidth="1"/>
    <col min="7" max="16" width="2.6328125" style="37" hidden="1" customWidth="1"/>
    <col min="17" max="17" width="3.08984375" style="37" hidden="1" customWidth="1"/>
    <col min="18" max="18" width="3.6328125" style="37" hidden="1" customWidth="1"/>
    <col min="19" max="19" width="4.1796875" style="37" hidden="1" customWidth="1"/>
    <col min="20" max="20" width="7.1796875" style="37" customWidth="1"/>
    <col min="21" max="21" width="6.36328125" style="37" customWidth="1"/>
    <col min="22" max="22" width="5.26953125" style="37" customWidth="1"/>
    <col min="23" max="23" width="5.1796875" style="37" customWidth="1"/>
    <col min="24" max="28" width="2.6328125" style="37" hidden="1" customWidth="1"/>
    <col min="29" max="29" width="8" style="37" customWidth="1"/>
    <col min="30" max="30" width="3.6328125" style="37" customWidth="1"/>
    <col min="31" max="31" width="4.90625" style="37" customWidth="1"/>
    <col min="32" max="32" width="7.1796875" style="37" customWidth="1"/>
    <col min="33" max="33" width="6.26953125" style="37" customWidth="1"/>
    <col min="34" max="34" width="6" style="37" customWidth="1"/>
    <col min="35" max="35" width="6.90625" style="37" customWidth="1"/>
    <col min="36" max="36" width="9" style="37" customWidth="1"/>
    <col min="37" max="39" width="1.1796875" style="37" customWidth="1"/>
    <col min="40" max="40" width="35.36328125" style="37" customWidth="1"/>
    <col min="41" max="41" width="3" style="37" customWidth="1"/>
    <col min="42" max="51" width="2.6328125" style="37" customWidth="1"/>
    <col min="52" max="52" width="2.453125" style="37" hidden="1" customWidth="1"/>
    <col min="53" max="53" width="3.6328125" style="37" customWidth="1"/>
    <col min="54" max="54" width="4.1796875" style="37" customWidth="1"/>
    <col min="55" max="55" width="7.1796875" style="37" customWidth="1"/>
    <col min="56" max="56" width="3" style="37" customWidth="1"/>
    <col min="57" max="66" width="2.6328125" style="37" customWidth="1"/>
    <col min="67" max="67" width="2.453125" style="37" hidden="1" customWidth="1"/>
    <col min="68" max="68" width="3.6328125" style="37" customWidth="1"/>
    <col min="69" max="69" width="4.1796875" style="37" customWidth="1"/>
    <col min="70" max="70" width="7.1796875" style="37" customWidth="1"/>
    <col min="71" max="71" width="1.453125" style="37" customWidth="1"/>
    <col min="72" max="72" width="3.90625" style="37" customWidth="1"/>
    <col min="73" max="74" width="2.6328125" style="37" customWidth="1"/>
    <col min="75" max="76" width="2.6328125" style="38" customWidth="1"/>
    <col min="77" max="77" width="2.6328125" customWidth="1"/>
  </cols>
  <sheetData>
    <row r="1" spans="1:74" s="61" customFormat="1" ht="15" customHeight="1" x14ac:dyDescent="0.3">
      <c r="A1" s="60"/>
      <c r="B1" s="60"/>
      <c r="C1" s="60"/>
      <c r="D1" s="60"/>
      <c r="E1" s="60"/>
      <c r="F1" s="60"/>
      <c r="G1" s="156" t="s">
        <v>167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60"/>
      <c r="AH1" s="157" t="str">
        <f>G1</f>
        <v>PROGRAM REMEDIAL DAN PENGAYAAN</v>
      </c>
      <c r="AI1" s="157"/>
      <c r="AJ1" s="157"/>
      <c r="AK1" s="59"/>
      <c r="AL1" s="59"/>
      <c r="AM1" s="59"/>
      <c r="AN1" s="59"/>
      <c r="AO1" s="60"/>
      <c r="AP1" s="156" t="str">
        <f>AH1</f>
        <v>PROGRAM REMEDIAL DAN PENGAYAAN</v>
      </c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59"/>
      <c r="BT1" s="59"/>
      <c r="BU1" s="59"/>
      <c r="BV1" s="59"/>
    </row>
    <row r="2" spans="1:74" s="61" customFormat="1" ht="15" customHeight="1" x14ac:dyDescent="0.3">
      <c r="A2" s="62"/>
      <c r="B2" s="62"/>
      <c r="C2" s="62"/>
      <c r="D2" s="62"/>
      <c r="E2" s="62"/>
      <c r="F2" s="62"/>
      <c r="G2" s="158" t="s">
        <v>235</v>
      </c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62"/>
      <c r="AH2" s="159" t="str">
        <f>G2</f>
        <v>TAHUN PELAJARAN 2025 /  2026</v>
      </c>
      <c r="AI2" s="159"/>
      <c r="AJ2" s="159"/>
      <c r="AK2" s="62"/>
      <c r="AL2" s="62"/>
      <c r="AM2" s="62"/>
      <c r="AN2" s="62"/>
      <c r="AO2" s="62"/>
      <c r="AP2" s="158" t="str">
        <f>AH2</f>
        <v>TAHUN PELAJARAN 2025 /  2026</v>
      </c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59"/>
      <c r="BT2" s="59"/>
      <c r="BU2" s="59"/>
      <c r="BV2" s="59"/>
    </row>
    <row r="3" spans="1:74" s="61" customFormat="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93"/>
      <c r="AI3" s="93"/>
      <c r="AJ3" s="93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59"/>
      <c r="BT3" s="59"/>
      <c r="BU3" s="59"/>
      <c r="BV3" s="59"/>
    </row>
    <row r="4" spans="1:74" s="61" customFormat="1" ht="15" customHeight="1" x14ac:dyDescent="0.3">
      <c r="A4" s="1"/>
      <c r="B4" s="1"/>
      <c r="C4" s="1"/>
      <c r="D4" s="1"/>
      <c r="E4" s="1"/>
      <c r="F4" s="1"/>
      <c r="G4" s="1" t="s">
        <v>0</v>
      </c>
      <c r="H4" s="1"/>
      <c r="I4" s="1"/>
      <c r="J4" s="1"/>
      <c r="K4" s="1"/>
      <c r="L4" s="1"/>
      <c r="M4" s="1" t="s">
        <v>5</v>
      </c>
      <c r="N4" s="1" t="s">
        <v>74</v>
      </c>
      <c r="O4" s="1"/>
      <c r="P4" s="1"/>
      <c r="Q4" s="1" t="s">
        <v>5</v>
      </c>
      <c r="R4" s="1" t="s">
        <v>162</v>
      </c>
      <c r="S4" s="1"/>
      <c r="T4" s="1"/>
      <c r="U4" s="1"/>
      <c r="V4" s="1" t="s">
        <v>0</v>
      </c>
      <c r="W4" s="1"/>
      <c r="X4" s="1"/>
      <c r="Y4" s="1" t="s">
        <v>5</v>
      </c>
      <c r="Z4" s="1" t="s">
        <v>74</v>
      </c>
      <c r="AA4" s="1"/>
      <c r="AB4" s="1"/>
      <c r="AC4" s="1" t="s">
        <v>5</v>
      </c>
      <c r="AD4" s="1" t="s">
        <v>239</v>
      </c>
      <c r="AE4" s="1"/>
      <c r="AF4" s="1"/>
      <c r="AG4" s="1"/>
      <c r="AH4" s="93" t="s">
        <v>0</v>
      </c>
      <c r="AI4" s="93"/>
      <c r="AJ4" s="93"/>
      <c r="AK4" s="1"/>
      <c r="AL4" s="1"/>
      <c r="AM4" s="1"/>
      <c r="AN4" s="1"/>
      <c r="AO4" s="1"/>
      <c r="AP4" s="1" t="s">
        <v>0</v>
      </c>
      <c r="AQ4" s="1"/>
      <c r="AR4" s="1"/>
      <c r="AS4" s="1"/>
      <c r="AT4" s="1"/>
      <c r="AU4" s="1"/>
      <c r="AV4" s="1" t="s">
        <v>5</v>
      </c>
      <c r="AW4" s="1" t="e">
        <f>#REF!</f>
        <v>#REF!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59"/>
      <c r="BT4" s="59"/>
      <c r="BU4" s="59"/>
      <c r="BV4" s="59"/>
    </row>
    <row r="5" spans="1:74" s="61" customFormat="1" ht="15" customHeight="1" x14ac:dyDescent="0.3">
      <c r="A5" s="1"/>
      <c r="B5" s="1"/>
      <c r="C5" s="1"/>
      <c r="D5" s="1"/>
      <c r="E5" s="1"/>
      <c r="F5" s="1"/>
      <c r="G5" s="1" t="s">
        <v>20</v>
      </c>
      <c r="H5" s="1"/>
      <c r="I5" s="1"/>
      <c r="J5" s="1"/>
      <c r="K5" s="1"/>
      <c r="L5" s="1"/>
      <c r="M5" s="1" t="s">
        <v>5</v>
      </c>
      <c r="N5" s="1" t="s">
        <v>159</v>
      </c>
      <c r="O5" s="1"/>
      <c r="P5" s="1"/>
      <c r="Q5" s="1" t="s">
        <v>5</v>
      </c>
      <c r="R5" s="1" t="s">
        <v>159</v>
      </c>
      <c r="S5" s="1"/>
      <c r="T5" s="1"/>
      <c r="U5" s="1"/>
      <c r="V5" s="1" t="s">
        <v>20</v>
      </c>
      <c r="W5" s="1"/>
      <c r="X5" s="1"/>
      <c r="Y5" s="1" t="s">
        <v>5</v>
      </c>
      <c r="Z5" s="1" t="s">
        <v>159</v>
      </c>
      <c r="AA5" s="1"/>
      <c r="AB5" s="1"/>
      <c r="AC5" s="1" t="s">
        <v>5</v>
      </c>
      <c r="AD5" s="1" t="s">
        <v>159</v>
      </c>
      <c r="AE5" s="1"/>
      <c r="AF5" s="1"/>
      <c r="AG5" s="1"/>
      <c r="AH5" s="93" t="s">
        <v>20</v>
      </c>
      <c r="AI5" s="93"/>
      <c r="AJ5" s="93"/>
      <c r="AK5" s="1"/>
      <c r="AL5" s="1"/>
      <c r="AM5" s="1"/>
      <c r="AN5" s="1"/>
      <c r="AO5" s="1"/>
      <c r="AP5" s="1" t="s">
        <v>20</v>
      </c>
      <c r="AQ5" s="1"/>
      <c r="AR5" s="1"/>
      <c r="AS5" s="1"/>
      <c r="AT5" s="1"/>
      <c r="AU5" s="1"/>
      <c r="AV5" s="1" t="s">
        <v>5</v>
      </c>
      <c r="AW5" s="1" t="e">
        <f>#REF!</f>
        <v>#REF!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59"/>
      <c r="BT5" s="59"/>
      <c r="BU5" s="59"/>
      <c r="BV5" s="59"/>
    </row>
    <row r="6" spans="1:74" s="61" customFormat="1" ht="15" customHeight="1" x14ac:dyDescent="0.3">
      <c r="A6" s="1"/>
      <c r="B6" s="1"/>
      <c r="C6" s="1"/>
      <c r="D6" s="1"/>
      <c r="E6" s="1"/>
      <c r="F6" s="1"/>
      <c r="G6" s="1" t="s">
        <v>160</v>
      </c>
      <c r="H6" s="1"/>
      <c r="I6" s="1"/>
      <c r="J6" s="1"/>
      <c r="K6" s="1"/>
      <c r="L6" s="1"/>
      <c r="M6" s="1" t="s">
        <v>67</v>
      </c>
      <c r="N6" s="1" t="s">
        <v>161</v>
      </c>
      <c r="O6" s="1"/>
      <c r="P6" s="1"/>
      <c r="Q6" s="1" t="s">
        <v>5</v>
      </c>
      <c r="R6" s="1" t="s">
        <v>113</v>
      </c>
      <c r="S6" s="1"/>
      <c r="T6" s="1"/>
      <c r="U6" s="1"/>
      <c r="V6" s="1" t="s">
        <v>160</v>
      </c>
      <c r="W6" s="1"/>
      <c r="X6" s="1"/>
      <c r="Y6" s="1" t="s">
        <v>67</v>
      </c>
      <c r="Z6" s="1" t="s">
        <v>161</v>
      </c>
      <c r="AA6" s="1"/>
      <c r="AB6" s="1"/>
      <c r="AC6" s="1" t="s">
        <v>5</v>
      </c>
      <c r="AD6" s="1" t="s">
        <v>113</v>
      </c>
      <c r="AE6" s="1"/>
      <c r="AF6" s="1"/>
      <c r="AG6" s="1"/>
      <c r="AH6" s="93" t="s">
        <v>76</v>
      </c>
      <c r="AI6" s="93"/>
      <c r="AJ6" s="93"/>
      <c r="AK6" s="1"/>
      <c r="AL6" s="1"/>
      <c r="AM6" s="1"/>
      <c r="AN6" s="1"/>
      <c r="AO6" s="1"/>
      <c r="AP6" s="1" t="s">
        <v>76</v>
      </c>
      <c r="AQ6" s="1"/>
      <c r="AR6" s="1"/>
      <c r="AS6" s="1"/>
      <c r="AT6" s="1"/>
      <c r="AU6" s="1"/>
      <c r="AV6" s="1" t="s">
        <v>67</v>
      </c>
      <c r="AW6" s="1" t="e" cm="1">
        <f t="array" ref="AW6">S6T6</f>
        <v>#NAME?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59"/>
      <c r="BT6" s="59"/>
      <c r="BU6" s="59"/>
      <c r="BV6" s="59"/>
    </row>
    <row r="7" spans="1:74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0"/>
      <c r="BI7" s="39"/>
      <c r="BJ7" s="39"/>
      <c r="BK7" s="39"/>
      <c r="BL7" s="39"/>
      <c r="BM7" s="39"/>
      <c r="BN7" s="39"/>
      <c r="BO7" s="39"/>
      <c r="BP7" s="39"/>
      <c r="BQ7" s="39"/>
      <c r="BR7" s="39"/>
    </row>
    <row r="8" spans="1:74" ht="17.399999999999999" customHeight="1" x14ac:dyDescent="0.35">
      <c r="A8" s="138" t="s">
        <v>1</v>
      </c>
      <c r="B8" s="138" t="s">
        <v>166</v>
      </c>
      <c r="C8" s="138" t="s">
        <v>2</v>
      </c>
      <c r="D8" s="28"/>
      <c r="E8" s="65"/>
      <c r="F8" s="99" t="s">
        <v>110</v>
      </c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135" t="s">
        <v>262</v>
      </c>
      <c r="U8" s="136"/>
      <c r="V8" s="136"/>
      <c r="W8" s="137"/>
      <c r="X8" s="72"/>
      <c r="Y8" s="72"/>
      <c r="Z8" s="72"/>
      <c r="AA8" s="72"/>
      <c r="AB8" s="72"/>
      <c r="AC8" s="136" t="s">
        <v>263</v>
      </c>
      <c r="AD8" s="136"/>
      <c r="AE8" s="136"/>
      <c r="AF8" s="136"/>
      <c r="AG8" s="99" t="s">
        <v>264</v>
      </c>
      <c r="AH8" s="72"/>
      <c r="AI8" s="72"/>
      <c r="AJ8" s="72"/>
      <c r="AK8" s="22"/>
      <c r="AL8" s="111"/>
      <c r="AM8" s="111"/>
      <c r="AN8" s="23"/>
      <c r="AO8" s="135" t="s">
        <v>75</v>
      </c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7"/>
      <c r="BD8" s="135" t="s">
        <v>75</v>
      </c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7"/>
    </row>
    <row r="9" spans="1:74" ht="17.399999999999999" customHeight="1" x14ac:dyDescent="0.35">
      <c r="A9" s="149"/>
      <c r="B9" s="149"/>
      <c r="C9" s="149"/>
      <c r="D9" s="28"/>
      <c r="E9" s="65"/>
      <c r="F9" s="140" t="s">
        <v>77</v>
      </c>
      <c r="G9" s="63">
        <v>1</v>
      </c>
      <c r="H9" s="63">
        <v>2</v>
      </c>
      <c r="I9" s="63">
        <v>3</v>
      </c>
      <c r="J9" s="63">
        <v>4</v>
      </c>
      <c r="K9" s="63">
        <v>5</v>
      </c>
      <c r="L9" s="63">
        <v>6</v>
      </c>
      <c r="M9" s="63">
        <v>7</v>
      </c>
      <c r="N9" s="63">
        <v>8</v>
      </c>
      <c r="O9" s="63">
        <v>9</v>
      </c>
      <c r="P9" s="63">
        <v>10</v>
      </c>
      <c r="Q9" s="20"/>
      <c r="R9" s="138" t="s">
        <v>71</v>
      </c>
      <c r="S9" s="133" t="s">
        <v>3</v>
      </c>
      <c r="T9" s="133" t="s">
        <v>172</v>
      </c>
      <c r="U9" s="140" t="s">
        <v>168</v>
      </c>
      <c r="V9" s="140" t="s">
        <v>169</v>
      </c>
      <c r="W9" s="140" t="s">
        <v>170</v>
      </c>
      <c r="X9" s="63">
        <v>6</v>
      </c>
      <c r="Y9" s="63">
        <v>7</v>
      </c>
      <c r="Z9" s="63">
        <v>8</v>
      </c>
      <c r="AA9" s="63">
        <v>9</v>
      </c>
      <c r="AB9" s="63">
        <v>10</v>
      </c>
      <c r="AC9" s="133" t="s">
        <v>172</v>
      </c>
      <c r="AD9" s="140" t="s">
        <v>168</v>
      </c>
      <c r="AE9" s="140" t="s">
        <v>169</v>
      </c>
      <c r="AF9" s="140" t="s">
        <v>170</v>
      </c>
      <c r="AG9" s="133" t="s">
        <v>172</v>
      </c>
      <c r="AH9" s="140" t="s">
        <v>168</v>
      </c>
      <c r="AI9" s="140" t="s">
        <v>169</v>
      </c>
      <c r="AJ9" s="140" t="s">
        <v>170</v>
      </c>
      <c r="AK9" s="24"/>
      <c r="AL9" s="112"/>
      <c r="AM9" s="112"/>
      <c r="AN9" s="25"/>
      <c r="AO9" s="140" t="s">
        <v>77</v>
      </c>
      <c r="AP9" s="63">
        <v>1</v>
      </c>
      <c r="AQ9" s="63">
        <v>2</v>
      </c>
      <c r="AR9" s="63">
        <v>3</v>
      </c>
      <c r="AS9" s="63">
        <v>4</v>
      </c>
      <c r="AT9" s="63">
        <v>5</v>
      </c>
      <c r="AU9" s="63">
        <v>6</v>
      </c>
      <c r="AV9" s="63">
        <v>7</v>
      </c>
      <c r="AW9" s="63">
        <v>8</v>
      </c>
      <c r="AX9" s="63">
        <v>9</v>
      </c>
      <c r="AY9" s="63">
        <v>10</v>
      </c>
      <c r="AZ9" s="20"/>
      <c r="BA9" s="138" t="s">
        <v>71</v>
      </c>
      <c r="BB9" s="133" t="s">
        <v>3</v>
      </c>
      <c r="BC9" s="133" t="s">
        <v>70</v>
      </c>
      <c r="BD9" s="140" t="s">
        <v>77</v>
      </c>
      <c r="BE9" s="63">
        <v>1</v>
      </c>
      <c r="BF9" s="63">
        <v>2</v>
      </c>
      <c r="BG9" s="63">
        <v>3</v>
      </c>
      <c r="BH9" s="63">
        <v>4</v>
      </c>
      <c r="BI9" s="63">
        <v>5</v>
      </c>
      <c r="BJ9" s="63">
        <v>6</v>
      </c>
      <c r="BK9" s="63">
        <v>7</v>
      </c>
      <c r="BL9" s="63">
        <v>8</v>
      </c>
      <c r="BM9" s="63">
        <v>9</v>
      </c>
      <c r="BN9" s="63">
        <v>10</v>
      </c>
      <c r="BO9" s="20"/>
      <c r="BP9" s="138" t="s">
        <v>71</v>
      </c>
      <c r="BQ9" s="133" t="s">
        <v>3</v>
      </c>
      <c r="BR9" s="133" t="s">
        <v>70</v>
      </c>
    </row>
    <row r="10" spans="1:74" ht="17.399999999999999" customHeight="1" x14ac:dyDescent="0.35">
      <c r="A10" s="149"/>
      <c r="B10" s="149"/>
      <c r="C10" s="149"/>
      <c r="D10" s="28"/>
      <c r="E10" s="65"/>
      <c r="F10" s="141"/>
      <c r="G10" s="135" t="s">
        <v>163</v>
      </c>
      <c r="H10" s="136"/>
      <c r="I10" s="136"/>
      <c r="J10" s="136"/>
      <c r="K10" s="136"/>
      <c r="L10" s="136"/>
      <c r="M10" s="136"/>
      <c r="N10" s="136"/>
      <c r="O10" s="136"/>
      <c r="P10" s="137"/>
      <c r="Q10" s="20"/>
      <c r="R10" s="139"/>
      <c r="S10" s="134"/>
      <c r="T10" s="145"/>
      <c r="U10" s="141"/>
      <c r="V10" s="141"/>
      <c r="W10" s="141"/>
      <c r="X10" s="72"/>
      <c r="Y10" s="72"/>
      <c r="Z10" s="72"/>
      <c r="AA10" s="72"/>
      <c r="AB10" s="73"/>
      <c r="AC10" s="145"/>
      <c r="AD10" s="141"/>
      <c r="AE10" s="141"/>
      <c r="AF10" s="141"/>
      <c r="AG10" s="145"/>
      <c r="AH10" s="141"/>
      <c r="AI10" s="141"/>
      <c r="AJ10" s="141"/>
      <c r="AK10" s="24"/>
      <c r="AL10" s="112"/>
      <c r="AM10" s="112"/>
      <c r="AN10" s="25"/>
      <c r="AO10" s="141"/>
      <c r="AP10" s="135" t="s">
        <v>78</v>
      </c>
      <c r="AQ10" s="136"/>
      <c r="AR10" s="136"/>
      <c r="AS10" s="136"/>
      <c r="AT10" s="136"/>
      <c r="AU10" s="136"/>
      <c r="AV10" s="136"/>
      <c r="AW10" s="136"/>
      <c r="AX10" s="136"/>
      <c r="AY10" s="137"/>
      <c r="AZ10" s="20"/>
      <c r="BA10" s="139"/>
      <c r="BB10" s="134"/>
      <c r="BC10" s="134"/>
      <c r="BD10" s="141"/>
      <c r="BE10" s="135" t="s">
        <v>78</v>
      </c>
      <c r="BF10" s="136"/>
      <c r="BG10" s="136"/>
      <c r="BH10" s="136"/>
      <c r="BI10" s="136"/>
      <c r="BJ10" s="136"/>
      <c r="BK10" s="136"/>
      <c r="BL10" s="136"/>
      <c r="BM10" s="136"/>
      <c r="BN10" s="137"/>
      <c r="BO10" s="20"/>
      <c r="BP10" s="139"/>
      <c r="BQ10" s="134"/>
      <c r="BR10" s="134"/>
    </row>
    <row r="11" spans="1:74" ht="17.399999999999999" customHeight="1" x14ac:dyDescent="0.35">
      <c r="A11" s="64"/>
      <c r="B11" s="64"/>
      <c r="C11" s="19"/>
      <c r="D11" s="29"/>
      <c r="E11" s="66"/>
      <c r="F11" s="142"/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92">
        <v>1</v>
      </c>
      <c r="M11" s="92">
        <v>1</v>
      </c>
      <c r="N11" s="92">
        <v>1</v>
      </c>
      <c r="O11" s="92">
        <v>1</v>
      </c>
      <c r="P11" s="92">
        <v>2</v>
      </c>
      <c r="Q11" s="92">
        <v>10</v>
      </c>
      <c r="R11" s="2"/>
      <c r="S11" s="2"/>
      <c r="T11" s="134"/>
      <c r="U11" s="142"/>
      <c r="V11" s="142"/>
      <c r="W11" s="142"/>
      <c r="X11" s="2"/>
      <c r="Y11" s="92">
        <v>1</v>
      </c>
      <c r="Z11" s="92">
        <v>1</v>
      </c>
      <c r="AA11" s="92">
        <v>1</v>
      </c>
      <c r="AB11" s="92">
        <v>2</v>
      </c>
      <c r="AC11" s="134"/>
      <c r="AD11" s="142"/>
      <c r="AE11" s="142"/>
      <c r="AF11" s="142"/>
      <c r="AG11" s="134"/>
      <c r="AH11" s="142"/>
      <c r="AI11" s="142"/>
      <c r="AJ11" s="142"/>
      <c r="AK11" s="26"/>
      <c r="AL11" s="56"/>
      <c r="AM11" s="56"/>
      <c r="AN11" s="27"/>
      <c r="AO11" s="142"/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2</v>
      </c>
      <c r="AZ11" s="2">
        <f>SUM(AP11:AY11)</f>
        <v>11</v>
      </c>
      <c r="BA11" s="2"/>
      <c r="BB11" s="2"/>
      <c r="BC11" s="2"/>
      <c r="BD11" s="142"/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2</v>
      </c>
      <c r="BO11" s="2">
        <f>SUM(BE11:BN11)</f>
        <v>11</v>
      </c>
      <c r="BP11" s="2"/>
      <c r="BQ11" s="2"/>
      <c r="BR11" s="2"/>
    </row>
    <row r="12" spans="1:74" ht="15" customHeight="1" x14ac:dyDescent="0.35">
      <c r="A12" s="41">
        <v>1</v>
      </c>
      <c r="B12" s="41" t="s">
        <v>120</v>
      </c>
      <c r="C12" s="30" t="s">
        <v>81</v>
      </c>
      <c r="D12" s="31"/>
      <c r="E12" s="36"/>
      <c r="F12" s="70">
        <v>70</v>
      </c>
      <c r="G12" s="42">
        <v>0</v>
      </c>
      <c r="H12" s="42">
        <v>2</v>
      </c>
      <c r="I12" s="42">
        <v>2</v>
      </c>
      <c r="J12" s="42">
        <v>2</v>
      </c>
      <c r="K12" s="42">
        <v>0</v>
      </c>
      <c r="L12" s="42"/>
      <c r="M12" s="42"/>
      <c r="N12" s="42"/>
      <c r="O12" s="42"/>
      <c r="P12" s="42"/>
      <c r="Q12" s="2"/>
      <c r="R12" s="43">
        <f>SUM(G12:P12)</f>
        <v>6</v>
      </c>
      <c r="S12" s="44">
        <f>R12/Q11*100</f>
        <v>60</v>
      </c>
      <c r="T12" s="100" t="str">
        <f>IFERROR(IF(S12&lt;F12,"Perbaikan",IF(S12&gt;=F12,"Pengayaan","")),"")</f>
        <v>Perbaikan</v>
      </c>
      <c r="U12" s="94">
        <v>60</v>
      </c>
      <c r="V12" s="94">
        <v>70</v>
      </c>
      <c r="W12" s="42" t="s">
        <v>171</v>
      </c>
      <c r="X12" s="42"/>
      <c r="Y12" s="42"/>
      <c r="Z12" s="42"/>
      <c r="AA12" s="42"/>
      <c r="AB12" s="42"/>
      <c r="AC12" s="42" t="s">
        <v>24</v>
      </c>
      <c r="AD12" s="50">
        <v>80</v>
      </c>
      <c r="AE12" s="50">
        <v>80</v>
      </c>
      <c r="AF12" s="42" t="s">
        <v>171</v>
      </c>
      <c r="AG12" s="70" t="s">
        <v>24</v>
      </c>
      <c r="AH12" s="42">
        <v>80</v>
      </c>
      <c r="AI12" s="42">
        <v>80</v>
      </c>
      <c r="AJ12" s="42" t="s">
        <v>171</v>
      </c>
      <c r="AK12" s="32"/>
      <c r="AL12" s="110"/>
      <c r="AM12" s="110"/>
      <c r="AN12" s="33"/>
      <c r="AO12" s="70">
        <v>65</v>
      </c>
      <c r="AP12" s="42">
        <v>1</v>
      </c>
      <c r="AQ12" s="42">
        <v>1</v>
      </c>
      <c r="AR12" s="42">
        <v>1</v>
      </c>
      <c r="AS12" s="42">
        <v>1</v>
      </c>
      <c r="AT12" s="42">
        <v>1</v>
      </c>
      <c r="AU12" s="42">
        <v>1</v>
      </c>
      <c r="AV12" s="42">
        <v>1</v>
      </c>
      <c r="AW12" s="42">
        <v>1</v>
      </c>
      <c r="AX12" s="42">
        <v>1</v>
      </c>
      <c r="AY12" s="42">
        <v>2</v>
      </c>
      <c r="AZ12" s="2"/>
      <c r="BA12" s="43">
        <f>SUM(AP12:AY12)</f>
        <v>11</v>
      </c>
      <c r="BB12" s="44">
        <f>BA12/AZ11*100</f>
        <v>100</v>
      </c>
      <c r="BC12" s="35" t="str">
        <f>IFERROR(IF(BB12&lt;AO12,"Perbaiakan",IF(BB12&gt;=AO12,"Pengayaan","")),"")</f>
        <v>Pengayaan</v>
      </c>
      <c r="BD12" s="67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3">
        <f>SUM(BE12:BN12)</f>
        <v>0</v>
      </c>
      <c r="BQ12" s="44">
        <f>BP12/BO11*100</f>
        <v>0</v>
      </c>
      <c r="BR12" s="35" t="str">
        <f>IFERROR(IF(BQ12&lt;BD12,"Perbaiakan",IF(BQ12&gt;=BD12,"Pengayaan","")),"")</f>
        <v>Pengayaan</v>
      </c>
    </row>
    <row r="13" spans="1:74" ht="15" customHeight="1" x14ac:dyDescent="0.35">
      <c r="A13" s="45">
        <v>2</v>
      </c>
      <c r="B13" s="41" t="s">
        <v>121</v>
      </c>
      <c r="C13" s="30" t="s">
        <v>82</v>
      </c>
      <c r="D13" s="31"/>
      <c r="E13" s="36"/>
      <c r="F13" s="70">
        <v>70</v>
      </c>
      <c r="G13" s="2">
        <v>0</v>
      </c>
      <c r="H13" s="2">
        <v>2</v>
      </c>
      <c r="I13" s="2">
        <v>2</v>
      </c>
      <c r="J13" s="2">
        <v>2</v>
      </c>
      <c r="K13" s="2">
        <v>2</v>
      </c>
      <c r="L13" s="2"/>
      <c r="M13" s="2"/>
      <c r="N13" s="2"/>
      <c r="O13" s="2"/>
      <c r="P13" s="2"/>
      <c r="Q13" s="2"/>
      <c r="R13" s="43">
        <f t="shared" ref="R13:R44" si="0">SUM(G13:P13)</f>
        <v>8</v>
      </c>
      <c r="S13" s="44">
        <f>R13/Q11*100</f>
        <v>80</v>
      </c>
      <c r="T13" s="100" t="str">
        <f t="shared" ref="T13:T44" si="1">IFERROR(IF(S13&lt;F13,"Perbaiakan",IF(S13&gt;=F13,"Pengayaan","")),"")</f>
        <v>Pengayaan</v>
      </c>
      <c r="U13" s="94">
        <v>80</v>
      </c>
      <c r="V13" s="94">
        <v>80</v>
      </c>
      <c r="W13" s="42" t="s">
        <v>171</v>
      </c>
      <c r="X13" s="2"/>
      <c r="Y13" s="2"/>
      <c r="Z13" s="2"/>
      <c r="AA13" s="2"/>
      <c r="AB13" s="2"/>
      <c r="AC13" s="2" t="s">
        <v>24</v>
      </c>
      <c r="AD13" s="50">
        <v>80</v>
      </c>
      <c r="AE13" s="50">
        <v>80</v>
      </c>
      <c r="AF13" s="42" t="s">
        <v>171</v>
      </c>
      <c r="AG13" s="70" t="s">
        <v>24</v>
      </c>
      <c r="AH13" s="2">
        <v>100</v>
      </c>
      <c r="AI13" s="2">
        <v>100</v>
      </c>
      <c r="AJ13" s="42" t="s">
        <v>171</v>
      </c>
      <c r="AK13" s="32"/>
      <c r="AL13" s="110"/>
      <c r="AM13" s="110"/>
      <c r="AN13" s="33"/>
      <c r="AO13" s="70">
        <v>60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/>
      <c r="AW13" s="2"/>
      <c r="AX13" s="2"/>
      <c r="AY13" s="2"/>
      <c r="AZ13" s="2"/>
      <c r="BA13" s="43">
        <f t="shared" ref="BA13:BA44" si="2">SUM(AP13:AY13)</f>
        <v>6</v>
      </c>
      <c r="BB13" s="44">
        <f>BA13/AZ11*100</f>
        <v>54.54545454545454</v>
      </c>
      <c r="BC13" s="35" t="str">
        <f t="shared" ref="BC13:BC44" si="3">IFERROR(IF(BB13&lt;AO13,"Perbaiakan",IF(BB13&gt;=AO13,"Pengayaan","")),"")</f>
        <v>Perbaiakan</v>
      </c>
      <c r="BD13" s="68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43">
        <f t="shared" ref="BP13:BP44" si="4">SUM(BE13:BN13)</f>
        <v>0</v>
      </c>
      <c r="BQ13" s="44">
        <f>BP13/BO11*100</f>
        <v>0</v>
      </c>
      <c r="BR13" s="35" t="str">
        <f t="shared" ref="BR13:BR44" si="5">IFERROR(IF(BQ13&lt;BD13,"Perbaiakan",IF(BQ13&gt;=BD13,"Pengayaan","")),"")</f>
        <v>Pengayaan</v>
      </c>
    </row>
    <row r="14" spans="1:74" ht="15" customHeight="1" x14ac:dyDescent="0.35">
      <c r="A14" s="41">
        <v>3</v>
      </c>
      <c r="B14" s="41" t="s">
        <v>122</v>
      </c>
      <c r="C14" s="30" t="s">
        <v>114</v>
      </c>
      <c r="D14" s="31"/>
      <c r="E14" s="36"/>
      <c r="F14" s="70">
        <v>70</v>
      </c>
      <c r="G14" s="2">
        <v>2</v>
      </c>
      <c r="H14" s="2">
        <v>0</v>
      </c>
      <c r="I14" s="2">
        <v>2</v>
      </c>
      <c r="J14" s="2">
        <v>2</v>
      </c>
      <c r="K14" s="2">
        <v>2</v>
      </c>
      <c r="L14" s="2"/>
      <c r="M14" s="2"/>
      <c r="N14" s="2"/>
      <c r="O14" s="2"/>
      <c r="P14" s="2"/>
      <c r="Q14" s="2"/>
      <c r="R14" s="43">
        <f t="shared" si="0"/>
        <v>8</v>
      </c>
      <c r="S14" s="44">
        <f>R14/Q11*100</f>
        <v>80</v>
      </c>
      <c r="T14" s="100" t="str">
        <f>IFERROR(IF(S14&lt;F14,"Perbaikan",IF(S14&gt;=F14,"Pengayaan","")),"")</f>
        <v>Pengayaan</v>
      </c>
      <c r="U14" s="94">
        <v>80</v>
      </c>
      <c r="V14" s="94">
        <v>80</v>
      </c>
      <c r="W14" s="42" t="s">
        <v>171</v>
      </c>
      <c r="X14" s="2"/>
      <c r="Y14" s="2"/>
      <c r="Z14" s="2"/>
      <c r="AA14" s="2"/>
      <c r="AB14" s="2"/>
      <c r="AC14" s="2" t="s">
        <v>24</v>
      </c>
      <c r="AD14" s="50">
        <v>80</v>
      </c>
      <c r="AE14" s="50">
        <v>80</v>
      </c>
      <c r="AF14" s="42" t="s">
        <v>171</v>
      </c>
      <c r="AG14" s="70" t="s">
        <v>24</v>
      </c>
      <c r="AH14" s="2">
        <v>80</v>
      </c>
      <c r="AI14" s="2">
        <v>80</v>
      </c>
      <c r="AJ14" s="42" t="s">
        <v>171</v>
      </c>
      <c r="AK14" s="32"/>
      <c r="AL14" s="110"/>
      <c r="AM14" s="110"/>
      <c r="AN14" s="33"/>
      <c r="AO14" s="7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43">
        <f t="shared" si="2"/>
        <v>0</v>
      </c>
      <c r="BB14" s="44">
        <f>BA14/AZ11*100</f>
        <v>0</v>
      </c>
      <c r="BC14" s="35" t="str">
        <f t="shared" si="3"/>
        <v>Pengayaan</v>
      </c>
      <c r="BD14" s="68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43">
        <f t="shared" si="4"/>
        <v>0</v>
      </c>
      <c r="BQ14" s="44">
        <f>BP14/BO11*100</f>
        <v>0</v>
      </c>
      <c r="BR14" s="35" t="str">
        <f t="shared" si="5"/>
        <v>Pengayaan</v>
      </c>
    </row>
    <row r="15" spans="1:74" ht="15" customHeight="1" x14ac:dyDescent="0.35">
      <c r="A15" s="45">
        <v>4</v>
      </c>
      <c r="B15" s="41" t="s">
        <v>123</v>
      </c>
      <c r="C15" s="30" t="s">
        <v>240</v>
      </c>
      <c r="D15" s="31"/>
      <c r="E15" s="36"/>
      <c r="F15" s="70">
        <v>70</v>
      </c>
      <c r="G15" s="2">
        <v>2</v>
      </c>
      <c r="H15" s="2">
        <v>2</v>
      </c>
      <c r="I15" s="2">
        <v>2</v>
      </c>
      <c r="J15" s="2">
        <v>0</v>
      </c>
      <c r="K15" s="2">
        <v>2</v>
      </c>
      <c r="L15" s="2"/>
      <c r="M15" s="2"/>
      <c r="N15" s="2"/>
      <c r="O15" s="2"/>
      <c r="P15" s="2"/>
      <c r="Q15" s="2"/>
      <c r="R15" s="43">
        <f t="shared" si="0"/>
        <v>8</v>
      </c>
      <c r="S15" s="44">
        <f>R15/Q11*100</f>
        <v>80</v>
      </c>
      <c r="T15" s="100" t="str">
        <f t="shared" si="1"/>
        <v>Pengayaan</v>
      </c>
      <c r="U15" s="94">
        <v>80</v>
      </c>
      <c r="V15" s="94">
        <v>80</v>
      </c>
      <c r="W15" s="42" t="s">
        <v>171</v>
      </c>
      <c r="X15" s="2"/>
      <c r="Y15" s="2"/>
      <c r="Z15" s="2"/>
      <c r="AA15" s="2"/>
      <c r="AB15" s="2"/>
      <c r="AC15" s="2" t="s">
        <v>24</v>
      </c>
      <c r="AD15" s="50">
        <v>80</v>
      </c>
      <c r="AE15" s="50">
        <v>80</v>
      </c>
      <c r="AF15" s="42" t="s">
        <v>171</v>
      </c>
      <c r="AG15" s="70" t="s">
        <v>24</v>
      </c>
      <c r="AH15" s="2">
        <v>100</v>
      </c>
      <c r="AI15" s="2">
        <v>100</v>
      </c>
      <c r="AJ15" s="42" t="s">
        <v>171</v>
      </c>
      <c r="AK15" s="32"/>
      <c r="AL15" s="110"/>
      <c r="AM15" s="110"/>
      <c r="AN15" s="33"/>
      <c r="AO15" s="70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43">
        <f t="shared" si="2"/>
        <v>0</v>
      </c>
      <c r="BB15" s="44">
        <f>BA15/AZ11*100</f>
        <v>0</v>
      </c>
      <c r="BC15" s="35" t="str">
        <f t="shared" si="3"/>
        <v>Pengayaan</v>
      </c>
      <c r="BD15" s="68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43">
        <f t="shared" si="4"/>
        <v>0</v>
      </c>
      <c r="BQ15" s="44">
        <f>BP15/BO11*100</f>
        <v>0</v>
      </c>
      <c r="BR15" s="35" t="str">
        <f t="shared" si="5"/>
        <v>Pengayaan</v>
      </c>
    </row>
    <row r="16" spans="1:74" ht="15" customHeight="1" x14ac:dyDescent="0.35">
      <c r="A16" s="41">
        <v>5</v>
      </c>
      <c r="B16" s="41" t="s">
        <v>125</v>
      </c>
      <c r="C16" s="30" t="s">
        <v>84</v>
      </c>
      <c r="D16" s="31"/>
      <c r="E16" s="36"/>
      <c r="F16" s="70">
        <v>70</v>
      </c>
      <c r="G16" s="2">
        <v>0</v>
      </c>
      <c r="H16" s="2">
        <v>0</v>
      </c>
      <c r="I16" s="2">
        <v>2</v>
      </c>
      <c r="J16" s="2">
        <v>2</v>
      </c>
      <c r="K16" s="2">
        <v>0</v>
      </c>
      <c r="L16" s="2"/>
      <c r="M16" s="2"/>
      <c r="N16" s="2"/>
      <c r="O16" s="2"/>
      <c r="P16" s="2"/>
      <c r="Q16" s="2"/>
      <c r="R16" s="43">
        <f t="shared" si="0"/>
        <v>4</v>
      </c>
      <c r="S16" s="44">
        <f>R16/Q11*100</f>
        <v>40</v>
      </c>
      <c r="T16" s="100" t="str">
        <f>IFERROR(IF(S16&lt;F16,"Perbaikan",IF(S16&gt;=F16,"Pengayaan","")),"")</f>
        <v>Perbaikan</v>
      </c>
      <c r="U16" s="94">
        <v>40</v>
      </c>
      <c r="V16" s="94">
        <v>70</v>
      </c>
      <c r="W16" s="42" t="s">
        <v>171</v>
      </c>
      <c r="X16" s="2"/>
      <c r="Y16" s="2"/>
      <c r="Z16" s="2"/>
      <c r="AA16" s="2"/>
      <c r="AB16" s="2"/>
      <c r="AC16" s="2" t="s">
        <v>24</v>
      </c>
      <c r="AD16" s="50">
        <v>80</v>
      </c>
      <c r="AE16" s="50">
        <v>80</v>
      </c>
      <c r="AF16" s="42" t="s">
        <v>171</v>
      </c>
      <c r="AG16" s="70" t="s">
        <v>23</v>
      </c>
      <c r="AH16" s="2">
        <v>60</v>
      </c>
      <c r="AI16" s="2">
        <v>70</v>
      </c>
      <c r="AJ16" s="42" t="s">
        <v>171</v>
      </c>
      <c r="AK16" s="32"/>
      <c r="AL16" s="110"/>
      <c r="AM16" s="110"/>
      <c r="AN16" s="33"/>
      <c r="AO16" s="70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43">
        <f t="shared" si="2"/>
        <v>0</v>
      </c>
      <c r="BB16" s="44">
        <f>BA16/AZ11*100</f>
        <v>0</v>
      </c>
      <c r="BC16" s="35" t="str">
        <f t="shared" si="3"/>
        <v>Pengayaan</v>
      </c>
      <c r="BD16" s="68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43">
        <f t="shared" si="4"/>
        <v>0</v>
      </c>
      <c r="BQ16" s="44">
        <f>BP16/BO11*100</f>
        <v>0</v>
      </c>
      <c r="BR16" s="35" t="str">
        <f t="shared" si="5"/>
        <v>Pengayaan</v>
      </c>
    </row>
    <row r="17" spans="1:70" ht="15" customHeight="1" x14ac:dyDescent="0.35">
      <c r="A17" s="45">
        <v>6</v>
      </c>
      <c r="B17" s="41" t="s">
        <v>126</v>
      </c>
      <c r="C17" s="30" t="s">
        <v>85</v>
      </c>
      <c r="D17" s="31"/>
      <c r="E17" s="36"/>
      <c r="F17" s="70">
        <v>70</v>
      </c>
      <c r="G17" s="2">
        <v>2</v>
      </c>
      <c r="H17" s="2">
        <v>2</v>
      </c>
      <c r="I17" s="2">
        <v>2</v>
      </c>
      <c r="J17" s="2">
        <v>2</v>
      </c>
      <c r="K17" s="2">
        <v>0</v>
      </c>
      <c r="L17" s="2"/>
      <c r="M17" s="2"/>
      <c r="N17" s="2"/>
      <c r="O17" s="2"/>
      <c r="P17" s="2"/>
      <c r="Q17" s="2"/>
      <c r="R17" s="43">
        <f t="shared" si="0"/>
        <v>8</v>
      </c>
      <c r="S17" s="44">
        <f>R17/Q11*100</f>
        <v>80</v>
      </c>
      <c r="T17" s="100" t="str">
        <f t="shared" si="1"/>
        <v>Pengayaan</v>
      </c>
      <c r="U17" s="94">
        <v>80</v>
      </c>
      <c r="V17" s="94">
        <v>80</v>
      </c>
      <c r="W17" s="42" t="s">
        <v>171</v>
      </c>
      <c r="X17" s="2"/>
      <c r="Y17" s="2"/>
      <c r="Z17" s="2"/>
      <c r="AA17" s="2"/>
      <c r="AB17" s="2"/>
      <c r="AC17" s="2" t="s">
        <v>23</v>
      </c>
      <c r="AD17" s="50">
        <v>60</v>
      </c>
      <c r="AE17" s="50">
        <v>70</v>
      </c>
      <c r="AF17" s="42" t="s">
        <v>171</v>
      </c>
      <c r="AG17" s="70" t="s">
        <v>24</v>
      </c>
      <c r="AH17" s="2">
        <v>80</v>
      </c>
      <c r="AI17" s="2">
        <v>80</v>
      </c>
      <c r="AJ17" s="42" t="s">
        <v>171</v>
      </c>
      <c r="AK17" s="32"/>
      <c r="AL17" s="110"/>
      <c r="AM17" s="110"/>
      <c r="AN17" s="33"/>
      <c r="AO17" s="70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43">
        <f t="shared" si="2"/>
        <v>0</v>
      </c>
      <c r="BB17" s="44">
        <f>BA17/AZ11*100</f>
        <v>0</v>
      </c>
      <c r="BC17" s="35" t="str">
        <f t="shared" si="3"/>
        <v>Pengayaan</v>
      </c>
      <c r="BD17" s="68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43">
        <f t="shared" si="4"/>
        <v>0</v>
      </c>
      <c r="BQ17" s="44">
        <f>BP17/BO11*100</f>
        <v>0</v>
      </c>
      <c r="BR17" s="35" t="str">
        <f t="shared" si="5"/>
        <v>Pengayaan</v>
      </c>
    </row>
    <row r="18" spans="1:70" ht="15" customHeight="1" x14ac:dyDescent="0.35">
      <c r="A18" s="41">
        <v>7</v>
      </c>
      <c r="B18" s="41" t="s">
        <v>127</v>
      </c>
      <c r="C18" s="30" t="s">
        <v>116</v>
      </c>
      <c r="D18" s="31"/>
      <c r="E18" s="36"/>
      <c r="F18" s="70">
        <v>70</v>
      </c>
      <c r="G18" s="2">
        <v>2</v>
      </c>
      <c r="H18" s="2">
        <v>2</v>
      </c>
      <c r="I18" s="2">
        <v>2</v>
      </c>
      <c r="J18" s="2">
        <v>2</v>
      </c>
      <c r="K18" s="2">
        <v>0</v>
      </c>
      <c r="L18" s="2"/>
      <c r="M18" s="2"/>
      <c r="N18" s="2"/>
      <c r="O18" s="2"/>
      <c r="P18" s="2"/>
      <c r="Q18" s="2"/>
      <c r="R18" s="43">
        <f t="shared" si="0"/>
        <v>8</v>
      </c>
      <c r="S18" s="44">
        <f>R18/Q11*100</f>
        <v>80</v>
      </c>
      <c r="T18" s="100" t="str">
        <f t="shared" si="1"/>
        <v>Pengayaan</v>
      </c>
      <c r="U18" s="94">
        <v>80</v>
      </c>
      <c r="V18" s="94">
        <v>80</v>
      </c>
      <c r="W18" s="42" t="s">
        <v>171</v>
      </c>
      <c r="X18" s="2"/>
      <c r="Y18" s="2"/>
      <c r="Z18" s="2"/>
      <c r="AA18" s="2"/>
      <c r="AB18" s="2"/>
      <c r="AC18" s="2" t="s">
        <v>24</v>
      </c>
      <c r="AD18" s="50">
        <v>80</v>
      </c>
      <c r="AE18" s="50">
        <v>80</v>
      </c>
      <c r="AF18" s="42" t="s">
        <v>171</v>
      </c>
      <c r="AG18" s="70" t="s">
        <v>24</v>
      </c>
      <c r="AH18" s="2">
        <v>80</v>
      </c>
      <c r="AI18" s="2">
        <v>80</v>
      </c>
      <c r="AJ18" s="42" t="s">
        <v>171</v>
      </c>
      <c r="AK18" s="32"/>
      <c r="AL18" s="110"/>
      <c r="AM18" s="110"/>
      <c r="AN18" s="33"/>
      <c r="AO18" s="70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43">
        <f t="shared" si="2"/>
        <v>0</v>
      </c>
      <c r="BB18" s="44">
        <f>BA18/AZ11*100</f>
        <v>0</v>
      </c>
      <c r="BC18" s="35" t="str">
        <f t="shared" si="3"/>
        <v>Pengayaan</v>
      </c>
      <c r="BD18" s="68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43">
        <f t="shared" si="4"/>
        <v>0</v>
      </c>
      <c r="BQ18" s="44">
        <f>BP18/BO11*100</f>
        <v>0</v>
      </c>
      <c r="BR18" s="35" t="str">
        <f t="shared" si="5"/>
        <v>Pengayaan</v>
      </c>
    </row>
    <row r="19" spans="1:70" ht="15" customHeight="1" x14ac:dyDescent="0.35">
      <c r="A19" s="45">
        <v>8</v>
      </c>
      <c r="B19" s="41" t="s">
        <v>128</v>
      </c>
      <c r="C19" s="30" t="s">
        <v>86</v>
      </c>
      <c r="D19" s="31"/>
      <c r="E19" s="36"/>
      <c r="F19" s="70">
        <v>70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/>
      <c r="M19" s="2"/>
      <c r="N19" s="2"/>
      <c r="O19" s="2"/>
      <c r="P19" s="2"/>
      <c r="Q19" s="2"/>
      <c r="R19" s="43">
        <f t="shared" si="0"/>
        <v>10</v>
      </c>
      <c r="S19" s="44">
        <f>R19/Q11*100</f>
        <v>100</v>
      </c>
      <c r="T19" s="100" t="str">
        <f t="shared" si="1"/>
        <v>Pengayaan</v>
      </c>
      <c r="U19" s="94">
        <v>100</v>
      </c>
      <c r="V19" s="94">
        <v>100</v>
      </c>
      <c r="W19" s="42" t="s">
        <v>171</v>
      </c>
      <c r="X19" s="2"/>
      <c r="Y19" s="2"/>
      <c r="Z19" s="2"/>
      <c r="AA19" s="2"/>
      <c r="AB19" s="2"/>
      <c r="AC19" s="2" t="s">
        <v>24</v>
      </c>
      <c r="AD19" s="50">
        <v>80</v>
      </c>
      <c r="AE19" s="50">
        <v>80</v>
      </c>
      <c r="AF19" s="42" t="s">
        <v>171</v>
      </c>
      <c r="AG19" s="70" t="s">
        <v>24</v>
      </c>
      <c r="AH19" s="2">
        <v>80</v>
      </c>
      <c r="AI19" s="2">
        <v>80</v>
      </c>
      <c r="AJ19" s="42" t="s">
        <v>171</v>
      </c>
      <c r="AK19" s="32"/>
      <c r="AL19" s="110"/>
      <c r="AM19" s="110"/>
      <c r="AN19" s="33"/>
      <c r="AO19" s="70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43">
        <f t="shared" si="2"/>
        <v>0</v>
      </c>
      <c r="BB19" s="44">
        <f>BA19/AZ11*100</f>
        <v>0</v>
      </c>
      <c r="BC19" s="35" t="str">
        <f t="shared" si="3"/>
        <v>Pengayaan</v>
      </c>
      <c r="BD19" s="68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43">
        <f t="shared" si="4"/>
        <v>0</v>
      </c>
      <c r="BQ19" s="44">
        <f>BP19/BO11*100</f>
        <v>0</v>
      </c>
      <c r="BR19" s="35" t="str">
        <f t="shared" si="5"/>
        <v>Pengayaan</v>
      </c>
    </row>
    <row r="20" spans="1:70" ht="15" customHeight="1" x14ac:dyDescent="0.35">
      <c r="A20" s="41">
        <v>9</v>
      </c>
      <c r="B20" s="41" t="s">
        <v>129</v>
      </c>
      <c r="C20" s="30" t="s">
        <v>87</v>
      </c>
      <c r="D20" s="31"/>
      <c r="E20" s="36"/>
      <c r="F20" s="70">
        <v>70</v>
      </c>
      <c r="G20" s="2">
        <v>2</v>
      </c>
      <c r="H20" s="2">
        <v>2</v>
      </c>
      <c r="I20" s="2">
        <v>2</v>
      </c>
      <c r="J20" s="2">
        <v>0</v>
      </c>
      <c r="K20" s="2">
        <v>2</v>
      </c>
      <c r="L20" s="2"/>
      <c r="M20" s="2"/>
      <c r="N20" s="2"/>
      <c r="O20" s="2"/>
      <c r="P20" s="2"/>
      <c r="Q20" s="2"/>
      <c r="R20" s="43">
        <f t="shared" si="0"/>
        <v>8</v>
      </c>
      <c r="S20" s="44">
        <f>R20/Q11*100</f>
        <v>80</v>
      </c>
      <c r="T20" s="100" t="str">
        <f t="shared" si="1"/>
        <v>Pengayaan</v>
      </c>
      <c r="U20" s="94">
        <v>80</v>
      </c>
      <c r="V20" s="94">
        <v>80</v>
      </c>
      <c r="W20" s="42" t="s">
        <v>171</v>
      </c>
      <c r="X20" s="2"/>
      <c r="Y20" s="2"/>
      <c r="Z20" s="2"/>
      <c r="AA20" s="2"/>
      <c r="AB20" s="2"/>
      <c r="AC20" s="2" t="s">
        <v>24</v>
      </c>
      <c r="AD20" s="50">
        <v>80</v>
      </c>
      <c r="AE20" s="50">
        <v>80</v>
      </c>
      <c r="AF20" s="42" t="s">
        <v>171</v>
      </c>
      <c r="AG20" s="70" t="s">
        <v>24</v>
      </c>
      <c r="AH20" s="2">
        <v>80</v>
      </c>
      <c r="AI20" s="2">
        <v>80</v>
      </c>
      <c r="AJ20" s="42" t="s">
        <v>171</v>
      </c>
      <c r="AK20" s="32"/>
      <c r="AL20" s="110"/>
      <c r="AM20" s="110"/>
      <c r="AN20" s="33"/>
      <c r="AO20" s="70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43">
        <f t="shared" si="2"/>
        <v>0</v>
      </c>
      <c r="BB20" s="44">
        <f>BA20/AZ11*100</f>
        <v>0</v>
      </c>
      <c r="BC20" s="35" t="str">
        <f t="shared" si="3"/>
        <v>Pengayaan</v>
      </c>
      <c r="BD20" s="68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43">
        <f t="shared" si="4"/>
        <v>0</v>
      </c>
      <c r="BQ20" s="44">
        <f>BP20/BO11*100</f>
        <v>0</v>
      </c>
      <c r="BR20" s="35" t="str">
        <f t="shared" si="5"/>
        <v>Pengayaan</v>
      </c>
    </row>
    <row r="21" spans="1:70" ht="15" customHeight="1" x14ac:dyDescent="0.35">
      <c r="A21" s="45">
        <v>10</v>
      </c>
      <c r="B21" s="41" t="s">
        <v>130</v>
      </c>
      <c r="C21" s="30" t="s">
        <v>88</v>
      </c>
      <c r="D21" s="31"/>
      <c r="E21" s="36"/>
      <c r="F21" s="70">
        <v>70</v>
      </c>
      <c r="G21" s="2">
        <v>0</v>
      </c>
      <c r="H21" s="2">
        <v>0</v>
      </c>
      <c r="I21" s="2">
        <v>2</v>
      </c>
      <c r="J21" s="2">
        <v>0</v>
      </c>
      <c r="K21" s="2">
        <v>0</v>
      </c>
      <c r="L21" s="2"/>
      <c r="M21" s="2"/>
      <c r="N21" s="2"/>
      <c r="O21" s="2"/>
      <c r="P21" s="2"/>
      <c r="Q21" s="2"/>
      <c r="R21" s="43">
        <f t="shared" si="0"/>
        <v>2</v>
      </c>
      <c r="S21" s="44">
        <f>R21/Q11*100</f>
        <v>20</v>
      </c>
      <c r="T21" s="100" t="str">
        <f>IFERROR(IF(S21&lt;F21,"Perbaikan",IF(S21&gt;=F21,"Pengayaan","")),"")</f>
        <v>Perbaikan</v>
      </c>
      <c r="U21" s="94">
        <v>20</v>
      </c>
      <c r="V21" s="94">
        <v>70</v>
      </c>
      <c r="W21" s="42" t="s">
        <v>171</v>
      </c>
      <c r="X21" s="2"/>
      <c r="Y21" s="2"/>
      <c r="Z21" s="2"/>
      <c r="AA21" s="2"/>
      <c r="AB21" s="2"/>
      <c r="AC21" s="2" t="s">
        <v>23</v>
      </c>
      <c r="AD21" s="50">
        <v>0</v>
      </c>
      <c r="AE21" s="50">
        <v>70</v>
      </c>
      <c r="AF21" s="42" t="s">
        <v>171</v>
      </c>
      <c r="AG21" s="70" t="s">
        <v>23</v>
      </c>
      <c r="AH21" s="2">
        <v>0</v>
      </c>
      <c r="AI21" s="2">
        <v>70</v>
      </c>
      <c r="AJ21" s="42" t="s">
        <v>171</v>
      </c>
      <c r="AK21" s="32"/>
      <c r="AL21" s="110"/>
      <c r="AM21" s="110"/>
      <c r="AN21" s="33"/>
      <c r="AO21" s="70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43">
        <f t="shared" si="2"/>
        <v>0</v>
      </c>
      <c r="BB21" s="44">
        <f>BA21/AZ11*100</f>
        <v>0</v>
      </c>
      <c r="BC21" s="35" t="str">
        <f t="shared" si="3"/>
        <v>Pengayaan</v>
      </c>
      <c r="BD21" s="68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43">
        <f t="shared" si="4"/>
        <v>0</v>
      </c>
      <c r="BQ21" s="44">
        <f>BP21/BO11*100</f>
        <v>0</v>
      </c>
      <c r="BR21" s="35" t="str">
        <f t="shared" si="5"/>
        <v>Pengayaan</v>
      </c>
    </row>
    <row r="22" spans="1:70" ht="15" customHeight="1" x14ac:dyDescent="0.35">
      <c r="A22" s="41">
        <v>11</v>
      </c>
      <c r="B22" s="41" t="s">
        <v>131</v>
      </c>
      <c r="C22" s="30" t="s">
        <v>89</v>
      </c>
      <c r="D22" s="31"/>
      <c r="E22" s="36"/>
      <c r="F22" s="70">
        <v>70</v>
      </c>
      <c r="G22" s="2">
        <v>0</v>
      </c>
      <c r="H22" s="2">
        <v>0</v>
      </c>
      <c r="I22" s="2">
        <v>2</v>
      </c>
      <c r="J22" s="2">
        <v>2</v>
      </c>
      <c r="K22" s="2">
        <v>0</v>
      </c>
      <c r="L22" s="2"/>
      <c r="M22" s="2"/>
      <c r="N22" s="2"/>
      <c r="O22" s="2"/>
      <c r="P22" s="2"/>
      <c r="Q22" s="2"/>
      <c r="R22" s="43">
        <f t="shared" si="0"/>
        <v>4</v>
      </c>
      <c r="S22" s="44">
        <f>R22/Q11*100</f>
        <v>40</v>
      </c>
      <c r="T22" s="100" t="str">
        <f>IFERROR(IF(S22&lt;F22,"Perbaikan",IF(S22&gt;=F22,"Pengayaan","")),"")</f>
        <v>Perbaikan</v>
      </c>
      <c r="U22" s="94">
        <v>40</v>
      </c>
      <c r="V22" s="94">
        <v>70</v>
      </c>
      <c r="W22" s="42" t="s">
        <v>171</v>
      </c>
      <c r="X22" s="2"/>
      <c r="Y22" s="2"/>
      <c r="Z22" s="2"/>
      <c r="AA22" s="2"/>
      <c r="AB22" s="2"/>
      <c r="AC22" s="2" t="s">
        <v>23</v>
      </c>
      <c r="AD22" s="50">
        <v>60</v>
      </c>
      <c r="AE22" s="50">
        <v>70</v>
      </c>
      <c r="AF22" s="42" t="s">
        <v>171</v>
      </c>
      <c r="AG22" s="70" t="s">
        <v>23</v>
      </c>
      <c r="AH22" s="2">
        <v>60</v>
      </c>
      <c r="AI22" s="2">
        <v>70</v>
      </c>
      <c r="AJ22" s="42" t="s">
        <v>171</v>
      </c>
      <c r="AK22" s="32"/>
      <c r="AL22" s="110"/>
      <c r="AM22" s="110"/>
      <c r="AN22" s="33"/>
      <c r="AO22" s="70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43">
        <f t="shared" si="2"/>
        <v>0</v>
      </c>
      <c r="BB22" s="44">
        <f>BA22/AZ11*100</f>
        <v>0</v>
      </c>
      <c r="BC22" s="35" t="str">
        <f t="shared" si="3"/>
        <v>Pengayaan</v>
      </c>
      <c r="BD22" s="68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43">
        <f t="shared" si="4"/>
        <v>0</v>
      </c>
      <c r="BQ22" s="44">
        <f>BP22/BO11*100</f>
        <v>0</v>
      </c>
      <c r="BR22" s="35" t="str">
        <f t="shared" si="5"/>
        <v>Pengayaan</v>
      </c>
    </row>
    <row r="23" spans="1:70" ht="15" customHeight="1" x14ac:dyDescent="0.35">
      <c r="A23" s="45">
        <v>12</v>
      </c>
      <c r="B23" s="41" t="s">
        <v>132</v>
      </c>
      <c r="C23" s="30" t="s">
        <v>90</v>
      </c>
      <c r="D23" s="31"/>
      <c r="E23" s="36"/>
      <c r="F23" s="70">
        <v>70</v>
      </c>
      <c r="G23" s="21">
        <v>2</v>
      </c>
      <c r="H23" s="21">
        <v>0</v>
      </c>
      <c r="I23" s="21">
        <v>0</v>
      </c>
      <c r="J23" s="21">
        <v>2</v>
      </c>
      <c r="K23" s="21">
        <v>2</v>
      </c>
      <c r="L23" s="21"/>
      <c r="M23" s="21"/>
      <c r="N23" s="21"/>
      <c r="O23" s="21"/>
      <c r="P23" s="21"/>
      <c r="Q23" s="2"/>
      <c r="R23" s="43">
        <f t="shared" si="0"/>
        <v>6</v>
      </c>
      <c r="S23" s="44">
        <f>R23/Q11*100</f>
        <v>60</v>
      </c>
      <c r="T23" s="100" t="str">
        <f>IFERROR(IF(S23&lt;F23,"Perbaikan",IF(S23&gt;=F23,"Pengayaan","")),"")</f>
        <v>Perbaikan</v>
      </c>
      <c r="U23" s="94">
        <v>60</v>
      </c>
      <c r="V23" s="94">
        <v>70</v>
      </c>
      <c r="W23" s="42" t="s">
        <v>171</v>
      </c>
      <c r="X23" s="21"/>
      <c r="Y23" s="21"/>
      <c r="Z23" s="21"/>
      <c r="AA23" s="21"/>
      <c r="AB23" s="21"/>
      <c r="AC23" s="21" t="s">
        <v>23</v>
      </c>
      <c r="AD23" s="50">
        <v>40</v>
      </c>
      <c r="AE23" s="50">
        <v>70</v>
      </c>
      <c r="AF23" s="42" t="s">
        <v>171</v>
      </c>
      <c r="AG23" s="70" t="s">
        <v>24</v>
      </c>
      <c r="AH23" s="21">
        <v>100</v>
      </c>
      <c r="AI23" s="21">
        <v>100</v>
      </c>
      <c r="AJ23" s="42" t="s">
        <v>171</v>
      </c>
      <c r="AK23" s="32"/>
      <c r="AL23" s="110"/>
      <c r="AM23" s="110"/>
      <c r="AN23" s="33"/>
      <c r="AO23" s="70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"/>
      <c r="BA23" s="43">
        <f t="shared" si="2"/>
        <v>0</v>
      </c>
      <c r="BB23" s="44">
        <f>BA23/AZ11*100</f>
        <v>0</v>
      </c>
      <c r="BC23" s="35" t="str">
        <f t="shared" si="3"/>
        <v>Pengayaan</v>
      </c>
      <c r="BD23" s="68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43">
        <f t="shared" si="4"/>
        <v>0</v>
      </c>
      <c r="BQ23" s="44">
        <f>BP23/BO11*100</f>
        <v>0</v>
      </c>
      <c r="BR23" s="35" t="str">
        <f t="shared" si="5"/>
        <v>Pengayaan</v>
      </c>
    </row>
    <row r="24" spans="1:70" ht="15" customHeight="1" x14ac:dyDescent="0.35">
      <c r="A24" s="41">
        <v>13</v>
      </c>
      <c r="B24" s="41" t="s">
        <v>133</v>
      </c>
      <c r="C24" s="30" t="s">
        <v>91</v>
      </c>
      <c r="D24" s="31"/>
      <c r="E24" s="36"/>
      <c r="F24" s="70">
        <v>70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/>
      <c r="M24" s="2"/>
      <c r="N24" s="2"/>
      <c r="O24" s="2"/>
      <c r="P24" s="2"/>
      <c r="Q24" s="2"/>
      <c r="R24" s="43">
        <f>SUM(G24:K24)</f>
        <v>10</v>
      </c>
      <c r="S24" s="44">
        <f>R24/Q11*100</f>
        <v>100</v>
      </c>
      <c r="T24" s="100" t="str">
        <f t="shared" si="1"/>
        <v>Pengayaan</v>
      </c>
      <c r="U24" s="94">
        <v>100</v>
      </c>
      <c r="V24" s="94">
        <v>100</v>
      </c>
      <c r="W24" s="42" t="s">
        <v>171</v>
      </c>
      <c r="X24" s="2"/>
      <c r="Y24" s="2"/>
      <c r="Z24" s="2"/>
      <c r="AA24" s="2"/>
      <c r="AB24" s="2"/>
      <c r="AC24" s="2" t="s">
        <v>24</v>
      </c>
      <c r="AD24" s="50">
        <v>80</v>
      </c>
      <c r="AE24" s="50">
        <v>80</v>
      </c>
      <c r="AF24" s="42" t="s">
        <v>171</v>
      </c>
      <c r="AG24" s="70" t="s">
        <v>24</v>
      </c>
      <c r="AH24" s="2">
        <v>80</v>
      </c>
      <c r="AI24" s="2">
        <v>80</v>
      </c>
      <c r="AJ24" s="42" t="s">
        <v>171</v>
      </c>
      <c r="AK24" s="32"/>
      <c r="AL24" s="110"/>
      <c r="AM24" s="110"/>
      <c r="AN24" s="33"/>
      <c r="AO24" s="70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43">
        <f t="shared" si="2"/>
        <v>0</v>
      </c>
      <c r="BB24" s="44">
        <f>BA24/AZ11*100</f>
        <v>0</v>
      </c>
      <c r="BC24" s="35" t="str">
        <f t="shared" si="3"/>
        <v>Pengayaan</v>
      </c>
      <c r="BD24" s="68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43">
        <f t="shared" si="4"/>
        <v>0</v>
      </c>
      <c r="BQ24" s="44">
        <f>BP24/BO11*100</f>
        <v>0</v>
      </c>
      <c r="BR24" s="35" t="str">
        <f t="shared" si="5"/>
        <v>Pengayaan</v>
      </c>
    </row>
    <row r="25" spans="1:70" ht="15" customHeight="1" x14ac:dyDescent="0.35">
      <c r="A25" s="45">
        <v>14</v>
      </c>
      <c r="B25" s="41" t="s">
        <v>135</v>
      </c>
      <c r="C25" s="30" t="s">
        <v>93</v>
      </c>
      <c r="D25" s="31"/>
      <c r="E25" s="36"/>
      <c r="F25" s="70">
        <v>70</v>
      </c>
      <c r="G25" s="48">
        <v>2</v>
      </c>
      <c r="H25" s="48">
        <v>2</v>
      </c>
      <c r="I25" s="48">
        <v>2</v>
      </c>
      <c r="J25" s="48">
        <v>2</v>
      </c>
      <c r="K25" s="48">
        <v>2</v>
      </c>
      <c r="L25" s="48"/>
      <c r="M25" s="48"/>
      <c r="N25" s="48"/>
      <c r="O25" s="48"/>
      <c r="P25" s="48"/>
      <c r="Q25" s="2"/>
      <c r="R25" s="43">
        <f t="shared" si="0"/>
        <v>10</v>
      </c>
      <c r="S25" s="44">
        <f>R25/Q11*100</f>
        <v>100</v>
      </c>
      <c r="T25" s="100" t="str">
        <f t="shared" si="1"/>
        <v>Pengayaan</v>
      </c>
      <c r="U25" s="94">
        <v>100</v>
      </c>
      <c r="V25" s="94">
        <v>100</v>
      </c>
      <c r="W25" s="42" t="s">
        <v>171</v>
      </c>
      <c r="X25" s="48"/>
      <c r="Y25" s="48"/>
      <c r="Z25" s="48"/>
      <c r="AA25" s="48"/>
      <c r="AB25" s="48"/>
      <c r="AC25" s="48" t="s">
        <v>24</v>
      </c>
      <c r="AD25" s="50">
        <v>80</v>
      </c>
      <c r="AE25" s="50">
        <v>80</v>
      </c>
      <c r="AF25" s="42" t="s">
        <v>171</v>
      </c>
      <c r="AG25" s="70" t="s">
        <v>24</v>
      </c>
      <c r="AH25" s="48">
        <v>100</v>
      </c>
      <c r="AI25" s="48">
        <v>100</v>
      </c>
      <c r="AJ25" s="42" t="s">
        <v>171</v>
      </c>
      <c r="AK25" s="32"/>
      <c r="AL25" s="110"/>
      <c r="AM25" s="110"/>
      <c r="AN25" s="33"/>
      <c r="AO25" s="70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2"/>
      <c r="BA25" s="43">
        <f t="shared" si="2"/>
        <v>0</v>
      </c>
      <c r="BB25" s="44">
        <f>BA25/AZ11*100</f>
        <v>0</v>
      </c>
      <c r="BC25" s="35" t="str">
        <f t="shared" si="3"/>
        <v>Pengayaan</v>
      </c>
      <c r="BD25" s="69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3">
        <f t="shared" si="4"/>
        <v>0</v>
      </c>
      <c r="BQ25" s="44">
        <f>BP25/BO11*100</f>
        <v>0</v>
      </c>
      <c r="BR25" s="35" t="str">
        <f t="shared" si="5"/>
        <v>Pengayaan</v>
      </c>
    </row>
    <row r="26" spans="1:70" ht="15" customHeight="1" x14ac:dyDescent="0.35">
      <c r="A26" s="41">
        <v>15</v>
      </c>
      <c r="B26" s="41" t="s">
        <v>136</v>
      </c>
      <c r="C26" s="30" t="s">
        <v>94</v>
      </c>
      <c r="D26" s="31"/>
      <c r="E26" s="36"/>
      <c r="F26" s="70">
        <v>70</v>
      </c>
      <c r="G26" s="2">
        <v>0</v>
      </c>
      <c r="H26" s="2">
        <v>2</v>
      </c>
      <c r="I26" s="2">
        <v>2</v>
      </c>
      <c r="J26" s="2">
        <v>2</v>
      </c>
      <c r="K26" s="2">
        <v>2</v>
      </c>
      <c r="L26" s="2"/>
      <c r="M26" s="2"/>
      <c r="N26" s="2"/>
      <c r="O26" s="2"/>
      <c r="P26" s="2"/>
      <c r="Q26" s="2"/>
      <c r="R26" s="43">
        <f t="shared" si="0"/>
        <v>8</v>
      </c>
      <c r="S26" s="44">
        <f>R26/Q11*100</f>
        <v>80</v>
      </c>
      <c r="T26" s="100" t="str">
        <f t="shared" si="1"/>
        <v>Pengayaan</v>
      </c>
      <c r="U26" s="94">
        <v>80</v>
      </c>
      <c r="V26" s="94">
        <v>80</v>
      </c>
      <c r="W26" s="42" t="s">
        <v>171</v>
      </c>
      <c r="X26" s="2"/>
      <c r="Y26" s="2"/>
      <c r="Z26" s="2"/>
      <c r="AA26" s="2"/>
      <c r="AB26" s="2"/>
      <c r="AC26" s="2" t="s">
        <v>23</v>
      </c>
      <c r="AD26" s="50">
        <v>60</v>
      </c>
      <c r="AE26" s="50">
        <v>70</v>
      </c>
      <c r="AF26" s="42" t="s">
        <v>171</v>
      </c>
      <c r="AG26" s="70" t="s">
        <v>24</v>
      </c>
      <c r="AH26" s="2">
        <v>80</v>
      </c>
      <c r="AI26" s="2">
        <v>80</v>
      </c>
      <c r="AJ26" s="42" t="s">
        <v>171</v>
      </c>
      <c r="AK26" s="32"/>
      <c r="AL26" s="110"/>
      <c r="AM26" s="110"/>
      <c r="AN26" s="33"/>
      <c r="AO26" s="70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43">
        <f t="shared" si="2"/>
        <v>0</v>
      </c>
      <c r="BB26" s="44">
        <f>BA26/AZ11*100</f>
        <v>0</v>
      </c>
      <c r="BC26" s="35" t="str">
        <f t="shared" si="3"/>
        <v>Pengayaan</v>
      </c>
      <c r="BD26" s="68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43">
        <f t="shared" si="4"/>
        <v>0</v>
      </c>
      <c r="BQ26" s="44">
        <f>BP26/BO11*100</f>
        <v>0</v>
      </c>
      <c r="BR26" s="35" t="str">
        <f t="shared" si="5"/>
        <v>Pengayaan</v>
      </c>
    </row>
    <row r="27" spans="1:70" ht="15" customHeight="1" x14ac:dyDescent="0.35">
      <c r="A27" s="45">
        <v>16</v>
      </c>
      <c r="B27" s="41" t="s">
        <v>137</v>
      </c>
      <c r="C27" s="30" t="s">
        <v>95</v>
      </c>
      <c r="D27" s="31"/>
      <c r="E27" s="36"/>
      <c r="F27" s="70">
        <v>70</v>
      </c>
      <c r="G27" s="50">
        <v>0</v>
      </c>
      <c r="H27" s="50">
        <v>0</v>
      </c>
      <c r="I27" s="50">
        <v>0</v>
      </c>
      <c r="J27" s="50">
        <v>2</v>
      </c>
      <c r="K27" s="50">
        <v>2</v>
      </c>
      <c r="L27" s="50"/>
      <c r="M27" s="50"/>
      <c r="N27" s="50"/>
      <c r="O27" s="50"/>
      <c r="P27" s="50"/>
      <c r="Q27" s="2"/>
      <c r="R27" s="43">
        <f t="shared" si="0"/>
        <v>4</v>
      </c>
      <c r="S27" s="44">
        <f>R27/Q11*100</f>
        <v>40</v>
      </c>
      <c r="T27" s="100" t="str">
        <f>IFERROR(IF(S27&lt;F27,"Perbaikan",IF(S27&gt;=F27,"Pengayaan","")),"")</f>
        <v>Perbaikan</v>
      </c>
      <c r="U27" s="94">
        <v>40</v>
      </c>
      <c r="V27" s="94">
        <v>70</v>
      </c>
      <c r="W27" s="42" t="s">
        <v>171</v>
      </c>
      <c r="X27" s="50"/>
      <c r="Y27" s="50"/>
      <c r="Z27" s="50"/>
      <c r="AA27" s="50"/>
      <c r="AB27" s="50"/>
      <c r="AC27" s="50" t="s">
        <v>23</v>
      </c>
      <c r="AD27" s="50">
        <v>60</v>
      </c>
      <c r="AE27" s="50">
        <v>70</v>
      </c>
      <c r="AF27" s="42" t="s">
        <v>171</v>
      </c>
      <c r="AG27" s="70" t="s">
        <v>24</v>
      </c>
      <c r="AH27" s="50">
        <v>100</v>
      </c>
      <c r="AI27" s="50">
        <v>100</v>
      </c>
      <c r="AJ27" s="42" t="s">
        <v>171</v>
      </c>
      <c r="AK27" s="32"/>
      <c r="AL27" s="110"/>
      <c r="AM27" s="110"/>
      <c r="AN27" s="33"/>
      <c r="AO27" s="7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2"/>
      <c r="BA27" s="43">
        <f t="shared" si="2"/>
        <v>0</v>
      </c>
      <c r="BB27" s="44">
        <f>BA27/AZ11*100</f>
        <v>0</v>
      </c>
      <c r="BC27" s="35" t="str">
        <f t="shared" si="3"/>
        <v>Pengayaan</v>
      </c>
      <c r="BD27" s="67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43">
        <f t="shared" si="4"/>
        <v>0</v>
      </c>
      <c r="BQ27" s="44">
        <f>BP27/BO11*100</f>
        <v>0</v>
      </c>
      <c r="BR27" s="35" t="str">
        <f t="shared" si="5"/>
        <v>Pengayaan</v>
      </c>
    </row>
    <row r="28" spans="1:70" ht="15" customHeight="1" x14ac:dyDescent="0.35">
      <c r="A28" s="41">
        <v>17</v>
      </c>
      <c r="B28" s="41" t="s">
        <v>138</v>
      </c>
      <c r="C28" s="30" t="s">
        <v>96</v>
      </c>
      <c r="D28" s="31"/>
      <c r="E28" s="36"/>
      <c r="F28" s="70">
        <v>70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48"/>
      <c r="M28" s="48"/>
      <c r="N28" s="48"/>
      <c r="O28" s="48"/>
      <c r="P28" s="48"/>
      <c r="Q28" s="2"/>
      <c r="R28" s="43">
        <f t="shared" si="0"/>
        <v>10</v>
      </c>
      <c r="S28" s="44">
        <f>R28/Q11*100</f>
        <v>100</v>
      </c>
      <c r="T28" s="100" t="str">
        <f t="shared" si="1"/>
        <v>Pengayaan</v>
      </c>
      <c r="U28" s="94">
        <v>100</v>
      </c>
      <c r="V28" s="94">
        <v>100</v>
      </c>
      <c r="W28" s="42" t="s">
        <v>171</v>
      </c>
      <c r="X28" s="48"/>
      <c r="Y28" s="48"/>
      <c r="Z28" s="48"/>
      <c r="AA28" s="48"/>
      <c r="AB28" s="48"/>
      <c r="AC28" s="48" t="s">
        <v>23</v>
      </c>
      <c r="AD28" s="50">
        <v>60</v>
      </c>
      <c r="AE28" s="50">
        <v>70</v>
      </c>
      <c r="AF28" s="42" t="s">
        <v>171</v>
      </c>
      <c r="AG28" s="70" t="s">
        <v>24</v>
      </c>
      <c r="AH28" s="2">
        <v>100</v>
      </c>
      <c r="AI28" s="2">
        <v>100</v>
      </c>
      <c r="AJ28" s="42" t="s">
        <v>171</v>
      </c>
      <c r="AK28" s="32"/>
      <c r="AL28" s="110"/>
      <c r="AM28" s="110"/>
      <c r="AN28" s="33"/>
      <c r="AO28" s="70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2"/>
      <c r="BA28" s="43">
        <f t="shared" si="2"/>
        <v>0</v>
      </c>
      <c r="BB28" s="44">
        <f>BA28/AZ11*100</f>
        <v>0</v>
      </c>
      <c r="BC28" s="35" t="str">
        <f t="shared" si="3"/>
        <v>Pengayaan</v>
      </c>
      <c r="BD28" s="69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3">
        <f t="shared" si="4"/>
        <v>0</v>
      </c>
      <c r="BQ28" s="44">
        <f>BP28/BO11*100</f>
        <v>0</v>
      </c>
      <c r="BR28" s="35" t="str">
        <f t="shared" si="5"/>
        <v>Pengayaan</v>
      </c>
    </row>
    <row r="29" spans="1:70" ht="15" customHeight="1" x14ac:dyDescent="0.35">
      <c r="A29" s="45">
        <v>18</v>
      </c>
      <c r="B29" s="41" t="s">
        <v>139</v>
      </c>
      <c r="C29" s="30" t="s">
        <v>97</v>
      </c>
      <c r="D29" s="31"/>
      <c r="E29" s="36"/>
      <c r="F29" s="70">
        <v>70</v>
      </c>
      <c r="G29" s="2">
        <v>0</v>
      </c>
      <c r="H29" s="2">
        <v>2</v>
      </c>
      <c r="I29" s="2">
        <v>2</v>
      </c>
      <c r="J29" s="2">
        <v>2</v>
      </c>
      <c r="K29" s="2">
        <v>0</v>
      </c>
      <c r="L29" s="2"/>
      <c r="M29" s="2"/>
      <c r="N29" s="2"/>
      <c r="O29" s="2"/>
      <c r="P29" s="2"/>
      <c r="Q29" s="2"/>
      <c r="R29" s="43">
        <f t="shared" si="0"/>
        <v>6</v>
      </c>
      <c r="S29" s="44">
        <f>R29/Q11*100</f>
        <v>60</v>
      </c>
      <c r="T29" s="100" t="str">
        <f>IFERROR(IF(S29&lt;F29,"Perbaikan",IF(S29&gt;=F29,"Pengayaan","")),"")</f>
        <v>Perbaikan</v>
      </c>
      <c r="U29" s="94">
        <v>60</v>
      </c>
      <c r="V29" s="94">
        <v>70</v>
      </c>
      <c r="W29" s="42" t="s">
        <v>171</v>
      </c>
      <c r="X29" s="2"/>
      <c r="Y29" s="2"/>
      <c r="Z29" s="2"/>
      <c r="AA29" s="2"/>
      <c r="AB29" s="2"/>
      <c r="AC29" s="2" t="s">
        <v>24</v>
      </c>
      <c r="AD29" s="50">
        <v>80</v>
      </c>
      <c r="AE29" s="50">
        <v>80</v>
      </c>
      <c r="AF29" s="42" t="s">
        <v>171</v>
      </c>
      <c r="AG29" s="70" t="s">
        <v>24</v>
      </c>
      <c r="AH29" s="2">
        <v>100</v>
      </c>
      <c r="AI29" s="2">
        <v>100</v>
      </c>
      <c r="AJ29" s="42" t="s">
        <v>171</v>
      </c>
      <c r="AK29" s="32"/>
      <c r="AL29" s="110"/>
      <c r="AM29" s="110"/>
      <c r="AN29" s="33"/>
      <c r="AO29" s="70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43">
        <f t="shared" si="2"/>
        <v>0</v>
      </c>
      <c r="BB29" s="44">
        <f>BA29/AZ11*100</f>
        <v>0</v>
      </c>
      <c r="BC29" s="35" t="str">
        <f t="shared" si="3"/>
        <v>Pengayaan</v>
      </c>
      <c r="BD29" s="68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43">
        <f t="shared" si="4"/>
        <v>0</v>
      </c>
      <c r="BQ29" s="44">
        <f>BP29/BO11*100</f>
        <v>0</v>
      </c>
      <c r="BR29" s="35" t="str">
        <f t="shared" si="5"/>
        <v>Pengayaan</v>
      </c>
    </row>
    <row r="30" spans="1:70" ht="15" customHeight="1" x14ac:dyDescent="0.35">
      <c r="A30" s="41">
        <v>19</v>
      </c>
      <c r="B30" s="41" t="s">
        <v>140</v>
      </c>
      <c r="C30" s="30" t="s">
        <v>98</v>
      </c>
      <c r="D30" s="31"/>
      <c r="E30" s="36"/>
      <c r="F30" s="70">
        <v>70</v>
      </c>
      <c r="G30" s="2">
        <v>0</v>
      </c>
      <c r="H30" s="2">
        <v>0</v>
      </c>
      <c r="I30" s="2">
        <v>2</v>
      </c>
      <c r="J30" s="2">
        <v>2</v>
      </c>
      <c r="K30" s="2">
        <v>2</v>
      </c>
      <c r="L30" s="2"/>
      <c r="M30" s="2"/>
      <c r="N30" s="2"/>
      <c r="O30" s="2"/>
      <c r="P30" s="2"/>
      <c r="Q30" s="2"/>
      <c r="R30" s="43">
        <f t="shared" si="0"/>
        <v>6</v>
      </c>
      <c r="S30" s="44">
        <f>R30/Q11*100</f>
        <v>60</v>
      </c>
      <c r="T30" s="100" t="str">
        <f>IFERROR(IF(S30&lt;F30,"Perbaikan",IF(S30&gt;=F30,"Pengayaan","")),"")</f>
        <v>Perbaikan</v>
      </c>
      <c r="U30" s="94">
        <v>60</v>
      </c>
      <c r="V30" s="94">
        <v>70</v>
      </c>
      <c r="W30" s="42" t="s">
        <v>171</v>
      </c>
      <c r="X30" s="2"/>
      <c r="Y30" s="2"/>
      <c r="Z30" s="2"/>
      <c r="AA30" s="2"/>
      <c r="AB30" s="2"/>
      <c r="AC30" s="2" t="s">
        <v>24</v>
      </c>
      <c r="AD30" s="50">
        <v>80</v>
      </c>
      <c r="AE30" s="50">
        <v>80</v>
      </c>
      <c r="AF30" s="42" t="s">
        <v>171</v>
      </c>
      <c r="AG30" s="2" t="s">
        <v>24</v>
      </c>
      <c r="AH30" s="2">
        <v>100</v>
      </c>
      <c r="AI30" s="2">
        <v>100</v>
      </c>
      <c r="AJ30" s="42" t="s">
        <v>171</v>
      </c>
      <c r="AK30" s="32"/>
      <c r="AL30" s="110"/>
      <c r="AM30" s="110"/>
      <c r="AN30" s="33"/>
      <c r="AO30" s="70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43">
        <f t="shared" si="2"/>
        <v>0</v>
      </c>
      <c r="BB30" s="44">
        <f>BA30/AZ11*100</f>
        <v>0</v>
      </c>
      <c r="BC30" s="35" t="str">
        <f t="shared" si="3"/>
        <v>Pengayaan</v>
      </c>
      <c r="BD30" s="68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43">
        <f t="shared" si="4"/>
        <v>0</v>
      </c>
      <c r="BQ30" s="44">
        <f>BP30/BO11*100</f>
        <v>0</v>
      </c>
      <c r="BR30" s="35" t="str">
        <f t="shared" si="5"/>
        <v>Pengayaan</v>
      </c>
    </row>
    <row r="31" spans="1:70" ht="15" customHeight="1" x14ac:dyDescent="0.35">
      <c r="A31" s="45">
        <v>20</v>
      </c>
      <c r="B31" s="41" t="s">
        <v>141</v>
      </c>
      <c r="C31" s="30" t="s">
        <v>99</v>
      </c>
      <c r="D31" s="31"/>
      <c r="E31" s="36"/>
      <c r="F31" s="70">
        <v>70</v>
      </c>
      <c r="G31" s="21">
        <v>0</v>
      </c>
      <c r="H31" s="21">
        <v>2</v>
      </c>
      <c r="I31" s="21">
        <v>2</v>
      </c>
      <c r="J31" s="21">
        <v>2</v>
      </c>
      <c r="K31" s="21">
        <v>2</v>
      </c>
      <c r="L31" s="21"/>
      <c r="M31" s="21"/>
      <c r="N31" s="21"/>
      <c r="O31" s="21"/>
      <c r="P31" s="21"/>
      <c r="Q31" s="2"/>
      <c r="R31" s="43">
        <f t="shared" si="0"/>
        <v>8</v>
      </c>
      <c r="S31" s="44">
        <f>R31/Q11*100</f>
        <v>80</v>
      </c>
      <c r="T31" s="100" t="str">
        <f t="shared" si="1"/>
        <v>Pengayaan</v>
      </c>
      <c r="U31" s="94">
        <v>80</v>
      </c>
      <c r="V31" s="94">
        <v>80</v>
      </c>
      <c r="W31" s="42" t="s">
        <v>171</v>
      </c>
      <c r="X31" s="21"/>
      <c r="Y31" s="21"/>
      <c r="Z31" s="21"/>
      <c r="AA31" s="21"/>
      <c r="AB31" s="21"/>
      <c r="AC31" s="21" t="s">
        <v>23</v>
      </c>
      <c r="AD31" s="50">
        <v>60</v>
      </c>
      <c r="AE31" s="50">
        <v>70</v>
      </c>
      <c r="AF31" s="42" t="s">
        <v>171</v>
      </c>
      <c r="AG31" s="70" t="s">
        <v>24</v>
      </c>
      <c r="AH31" s="21">
        <v>100</v>
      </c>
      <c r="AI31" s="21">
        <v>100</v>
      </c>
      <c r="AJ31" s="42" t="s">
        <v>171</v>
      </c>
      <c r="AK31" s="32"/>
      <c r="AL31" s="110"/>
      <c r="AM31" s="110"/>
      <c r="AN31" s="33"/>
      <c r="AO31" s="70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"/>
      <c r="BA31" s="43">
        <f t="shared" si="2"/>
        <v>0</v>
      </c>
      <c r="BB31" s="44">
        <f>BA31/AZ11*100</f>
        <v>0</v>
      </c>
      <c r="BC31" s="35" t="str">
        <f t="shared" si="3"/>
        <v>Pengayaan</v>
      </c>
      <c r="BD31" s="68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43">
        <f t="shared" si="4"/>
        <v>0</v>
      </c>
      <c r="BQ31" s="44">
        <f>BP31/BO11*100</f>
        <v>0</v>
      </c>
      <c r="BR31" s="35" t="str">
        <f t="shared" si="5"/>
        <v>Pengayaan</v>
      </c>
    </row>
    <row r="32" spans="1:70" ht="15" customHeight="1" x14ac:dyDescent="0.35">
      <c r="A32" s="41">
        <v>21</v>
      </c>
      <c r="B32" s="41" t="s">
        <v>142</v>
      </c>
      <c r="C32" s="30" t="s">
        <v>100</v>
      </c>
      <c r="D32" s="31"/>
      <c r="E32" s="36"/>
      <c r="F32" s="70">
        <v>70</v>
      </c>
      <c r="G32" s="2">
        <v>2</v>
      </c>
      <c r="H32" s="2">
        <v>0</v>
      </c>
      <c r="I32" s="2">
        <v>2</v>
      </c>
      <c r="J32" s="2">
        <v>2</v>
      </c>
      <c r="K32" s="2">
        <v>2</v>
      </c>
      <c r="L32" s="2"/>
      <c r="M32" s="2"/>
      <c r="N32" s="2"/>
      <c r="O32" s="2"/>
      <c r="P32" s="2"/>
      <c r="Q32" s="2"/>
      <c r="R32" s="43">
        <f t="shared" si="0"/>
        <v>8</v>
      </c>
      <c r="S32" s="44">
        <f>R32/Q11*100</f>
        <v>80</v>
      </c>
      <c r="T32" s="100" t="str">
        <f t="shared" si="1"/>
        <v>Pengayaan</v>
      </c>
      <c r="U32" s="94">
        <v>80</v>
      </c>
      <c r="V32" s="94">
        <v>80</v>
      </c>
      <c r="W32" s="42" t="s">
        <v>171</v>
      </c>
      <c r="X32" s="2"/>
      <c r="Y32" s="2"/>
      <c r="Z32" s="2"/>
      <c r="AA32" s="2"/>
      <c r="AB32" s="2"/>
      <c r="AC32" s="2" t="s">
        <v>24</v>
      </c>
      <c r="AD32" s="50">
        <v>100</v>
      </c>
      <c r="AE32" s="50">
        <v>100</v>
      </c>
      <c r="AF32" s="42" t="s">
        <v>171</v>
      </c>
      <c r="AG32" s="70" t="s">
        <v>24</v>
      </c>
      <c r="AH32" s="2">
        <v>80</v>
      </c>
      <c r="AI32" s="2">
        <v>80</v>
      </c>
      <c r="AJ32" s="42" t="s">
        <v>171</v>
      </c>
      <c r="AK32" s="32"/>
      <c r="AL32" s="110"/>
      <c r="AM32" s="110"/>
      <c r="AN32" s="33"/>
      <c r="AO32" s="70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43">
        <f t="shared" si="2"/>
        <v>0</v>
      </c>
      <c r="BB32" s="44">
        <f>BA32/AZ11*100</f>
        <v>0</v>
      </c>
      <c r="BC32" s="35" t="str">
        <f t="shared" si="3"/>
        <v>Pengayaan</v>
      </c>
      <c r="BD32" s="68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43">
        <f t="shared" si="4"/>
        <v>0</v>
      </c>
      <c r="BQ32" s="44">
        <f>BP32/BO11*100</f>
        <v>0</v>
      </c>
      <c r="BR32" s="35" t="str">
        <f t="shared" si="5"/>
        <v>Pengayaan</v>
      </c>
    </row>
    <row r="33" spans="1:74" ht="15" customHeight="1" x14ac:dyDescent="0.35">
      <c r="A33" s="45">
        <v>22</v>
      </c>
      <c r="B33" s="41" t="s">
        <v>143</v>
      </c>
      <c r="C33" s="30" t="s">
        <v>236</v>
      </c>
      <c r="D33" s="31"/>
      <c r="E33" s="36"/>
      <c r="F33" s="70">
        <v>70</v>
      </c>
      <c r="G33" s="52">
        <v>0</v>
      </c>
      <c r="H33" s="52">
        <v>2</v>
      </c>
      <c r="I33" s="52">
        <v>0</v>
      </c>
      <c r="J33" s="52">
        <v>0</v>
      </c>
      <c r="K33" s="52">
        <v>2</v>
      </c>
      <c r="L33" s="52"/>
      <c r="M33" s="52"/>
      <c r="N33" s="52"/>
      <c r="O33" s="52"/>
      <c r="P33" s="52"/>
      <c r="Q33" s="2"/>
      <c r="R33" s="43">
        <f t="shared" si="0"/>
        <v>4</v>
      </c>
      <c r="S33" s="44">
        <f>R33/Q11*100</f>
        <v>40</v>
      </c>
      <c r="T33" s="100" t="str">
        <f>IFERROR(IF(S33&lt;F33,"Perbaikan",IF(S33&gt;=F33,"Pengayaan","")),"")</f>
        <v>Perbaikan</v>
      </c>
      <c r="U33" s="94">
        <v>40</v>
      </c>
      <c r="V33" s="94">
        <v>70</v>
      </c>
      <c r="W33" s="42" t="s">
        <v>171</v>
      </c>
      <c r="X33" s="52"/>
      <c r="Y33" s="52"/>
      <c r="Z33" s="52"/>
      <c r="AA33" s="52"/>
      <c r="AB33" s="52"/>
      <c r="AC33" s="52" t="s">
        <v>24</v>
      </c>
      <c r="AD33" s="50">
        <v>80</v>
      </c>
      <c r="AE33" s="50">
        <v>80</v>
      </c>
      <c r="AF33" s="42" t="s">
        <v>171</v>
      </c>
      <c r="AG33" s="70" t="s">
        <v>24</v>
      </c>
      <c r="AH33" s="52">
        <v>80</v>
      </c>
      <c r="AI33" s="52">
        <v>80</v>
      </c>
      <c r="AJ33" s="42" t="s">
        <v>171</v>
      </c>
      <c r="AK33" s="32"/>
      <c r="AL33" s="110"/>
      <c r="AM33" s="110"/>
      <c r="AN33" s="33"/>
      <c r="AO33" s="70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2"/>
      <c r="BA33" s="43">
        <f t="shared" si="2"/>
        <v>0</v>
      </c>
      <c r="BB33" s="44">
        <f>BA33/AZ11*100</f>
        <v>0</v>
      </c>
      <c r="BC33" s="35" t="str">
        <f t="shared" si="3"/>
        <v>Pengayaan</v>
      </c>
      <c r="BD33" s="69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43">
        <f t="shared" si="4"/>
        <v>0</v>
      </c>
      <c r="BQ33" s="44">
        <f>BP33/BO11*100</f>
        <v>0</v>
      </c>
      <c r="BR33" s="35" t="str">
        <f t="shared" si="5"/>
        <v>Pengayaan</v>
      </c>
    </row>
    <row r="34" spans="1:74" ht="15" customHeight="1" x14ac:dyDescent="0.35">
      <c r="A34" s="41">
        <v>23</v>
      </c>
      <c r="B34" s="41" t="s">
        <v>144</v>
      </c>
      <c r="C34" s="30" t="s">
        <v>102</v>
      </c>
      <c r="D34" s="31"/>
      <c r="E34" s="36"/>
      <c r="F34" s="70">
        <v>70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/>
      <c r="M34" s="2"/>
      <c r="N34" s="2"/>
      <c r="O34" s="2"/>
      <c r="P34" s="2"/>
      <c r="Q34" s="2"/>
      <c r="R34" s="43">
        <f t="shared" si="0"/>
        <v>10</v>
      </c>
      <c r="S34" s="44">
        <f>R34/Q11*100</f>
        <v>100</v>
      </c>
      <c r="T34" s="100" t="str">
        <f t="shared" si="1"/>
        <v>Pengayaan</v>
      </c>
      <c r="U34" s="94">
        <v>100</v>
      </c>
      <c r="V34" s="94">
        <v>100</v>
      </c>
      <c r="W34" s="42" t="s">
        <v>171</v>
      </c>
      <c r="X34" s="2"/>
      <c r="Y34" s="2"/>
      <c r="Z34" s="2"/>
      <c r="AA34" s="2"/>
      <c r="AB34" s="2"/>
      <c r="AC34" s="2" t="s">
        <v>24</v>
      </c>
      <c r="AD34" s="50">
        <v>80</v>
      </c>
      <c r="AE34" s="50">
        <v>80</v>
      </c>
      <c r="AF34" s="42" t="s">
        <v>171</v>
      </c>
      <c r="AG34" s="70" t="s">
        <v>24</v>
      </c>
      <c r="AH34" s="2">
        <v>100</v>
      </c>
      <c r="AI34" s="2">
        <v>100</v>
      </c>
      <c r="AJ34" s="42" t="s">
        <v>171</v>
      </c>
      <c r="AK34" s="32"/>
      <c r="AL34" s="110"/>
      <c r="AM34" s="110"/>
      <c r="AN34" s="33"/>
      <c r="AO34" s="70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43">
        <f t="shared" si="2"/>
        <v>0</v>
      </c>
      <c r="BB34" s="44">
        <f>BA34/AZ11*100</f>
        <v>0</v>
      </c>
      <c r="BC34" s="35" t="str">
        <f t="shared" si="3"/>
        <v>Pengayaan</v>
      </c>
      <c r="BD34" s="68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43">
        <f t="shared" si="4"/>
        <v>0</v>
      </c>
      <c r="BQ34" s="44">
        <f>BP34/BO11*100</f>
        <v>0</v>
      </c>
      <c r="BR34" s="35" t="str">
        <f t="shared" si="5"/>
        <v>Pengayaan</v>
      </c>
    </row>
    <row r="35" spans="1:74" ht="15" customHeight="1" x14ac:dyDescent="0.35">
      <c r="A35" s="45">
        <v>24</v>
      </c>
      <c r="B35" s="41" t="s">
        <v>145</v>
      </c>
      <c r="C35" s="30" t="s">
        <v>103</v>
      </c>
      <c r="D35" s="31"/>
      <c r="E35" s="36"/>
      <c r="F35" s="70">
        <v>70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/>
      <c r="M35" s="2"/>
      <c r="N35" s="2"/>
      <c r="O35" s="2"/>
      <c r="P35" s="2"/>
      <c r="Q35" s="2"/>
      <c r="R35" s="43">
        <f t="shared" si="0"/>
        <v>10</v>
      </c>
      <c r="S35" s="44">
        <f>R35/Q11*100</f>
        <v>100</v>
      </c>
      <c r="T35" s="100" t="str">
        <f t="shared" si="1"/>
        <v>Pengayaan</v>
      </c>
      <c r="U35" s="94">
        <v>100</v>
      </c>
      <c r="V35" s="94">
        <v>100</v>
      </c>
      <c r="W35" s="42" t="s">
        <v>171</v>
      </c>
      <c r="X35" s="2"/>
      <c r="Y35" s="2"/>
      <c r="Z35" s="2"/>
      <c r="AA35" s="2"/>
      <c r="AB35" s="2"/>
      <c r="AC35" s="2" t="s">
        <v>24</v>
      </c>
      <c r="AD35" s="50">
        <v>80</v>
      </c>
      <c r="AE35" s="50">
        <v>80</v>
      </c>
      <c r="AF35" s="42" t="s">
        <v>171</v>
      </c>
      <c r="AG35" s="70" t="s">
        <v>24</v>
      </c>
      <c r="AH35" s="2">
        <v>80</v>
      </c>
      <c r="AI35" s="2">
        <v>80</v>
      </c>
      <c r="AJ35" s="42" t="s">
        <v>171</v>
      </c>
      <c r="AK35" s="32"/>
      <c r="AL35" s="110"/>
      <c r="AM35" s="110"/>
      <c r="AN35" s="33"/>
      <c r="AO35" s="70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43">
        <f t="shared" si="2"/>
        <v>0</v>
      </c>
      <c r="BB35" s="44">
        <f>BA35/AZ11*100</f>
        <v>0</v>
      </c>
      <c r="BC35" s="35" t="str">
        <f t="shared" si="3"/>
        <v>Pengayaan</v>
      </c>
      <c r="BD35" s="68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3">
        <f t="shared" si="4"/>
        <v>0</v>
      </c>
      <c r="BQ35" s="44">
        <f>BP35/BO11*100</f>
        <v>0</v>
      </c>
      <c r="BR35" s="35" t="str">
        <f t="shared" si="5"/>
        <v>Pengayaan</v>
      </c>
    </row>
    <row r="36" spans="1:74" ht="15" customHeight="1" x14ac:dyDescent="0.35">
      <c r="A36" s="41">
        <v>25</v>
      </c>
      <c r="B36" s="41" t="s">
        <v>146</v>
      </c>
      <c r="C36" s="30" t="s">
        <v>104</v>
      </c>
      <c r="D36" s="31"/>
      <c r="E36" s="36"/>
      <c r="F36" s="70">
        <v>70</v>
      </c>
      <c r="G36" s="2">
        <v>0</v>
      </c>
      <c r="H36" s="2">
        <v>0</v>
      </c>
      <c r="I36" s="2">
        <v>2</v>
      </c>
      <c r="J36" s="2">
        <v>2</v>
      </c>
      <c r="K36" s="2">
        <v>2</v>
      </c>
      <c r="L36" s="2"/>
      <c r="M36" s="2"/>
      <c r="N36" s="2"/>
      <c r="O36" s="2"/>
      <c r="P36" s="2"/>
      <c r="Q36" s="2"/>
      <c r="R36" s="43">
        <f t="shared" si="0"/>
        <v>6</v>
      </c>
      <c r="S36" s="44">
        <f>R36/Q11*100</f>
        <v>60</v>
      </c>
      <c r="T36" s="100" t="str">
        <f>IFERROR(IF(S36&lt;F36,"Perbaikan",IF(S36&gt;=F36,"Pengayaan","")),"")</f>
        <v>Perbaikan</v>
      </c>
      <c r="U36" s="94">
        <v>60</v>
      </c>
      <c r="V36" s="94">
        <v>70</v>
      </c>
      <c r="W36" s="42" t="s">
        <v>171</v>
      </c>
      <c r="X36" s="2"/>
      <c r="Y36" s="2"/>
      <c r="Z36" s="2"/>
      <c r="AA36" s="2"/>
      <c r="AB36" s="2"/>
      <c r="AC36" s="2" t="s">
        <v>24</v>
      </c>
      <c r="AD36" s="50">
        <v>80</v>
      </c>
      <c r="AE36" s="50">
        <v>80</v>
      </c>
      <c r="AF36" s="42" t="s">
        <v>171</v>
      </c>
      <c r="AG36" s="70" t="s">
        <v>23</v>
      </c>
      <c r="AH36" s="2">
        <v>0</v>
      </c>
      <c r="AI36" s="2">
        <v>70</v>
      </c>
      <c r="AJ36" s="42" t="s">
        <v>171</v>
      </c>
      <c r="AK36" s="32"/>
      <c r="AL36" s="110"/>
      <c r="AM36" s="110"/>
      <c r="AN36" s="33"/>
      <c r="AO36" s="70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43">
        <f t="shared" si="2"/>
        <v>0</v>
      </c>
      <c r="BB36" s="44">
        <f>BA36/AZ11*100</f>
        <v>0</v>
      </c>
      <c r="BC36" s="35" t="str">
        <f t="shared" si="3"/>
        <v>Pengayaan</v>
      </c>
      <c r="BD36" s="68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43">
        <f t="shared" si="4"/>
        <v>0</v>
      </c>
      <c r="BQ36" s="44">
        <f>BP36/BO11*100</f>
        <v>0</v>
      </c>
      <c r="BR36" s="35" t="str">
        <f t="shared" si="5"/>
        <v>Pengayaan</v>
      </c>
    </row>
    <row r="37" spans="1:74" ht="15" customHeight="1" x14ac:dyDescent="0.35">
      <c r="A37" s="45">
        <v>26</v>
      </c>
      <c r="B37" s="41" t="s">
        <v>147</v>
      </c>
      <c r="C37" s="30" t="s">
        <v>117</v>
      </c>
      <c r="D37" s="31"/>
      <c r="E37" s="36"/>
      <c r="F37" s="70">
        <v>70</v>
      </c>
      <c r="G37" s="2">
        <v>0</v>
      </c>
      <c r="H37" s="2">
        <v>2</v>
      </c>
      <c r="I37" s="2">
        <v>2</v>
      </c>
      <c r="J37" s="2">
        <v>2</v>
      </c>
      <c r="K37" s="2">
        <v>2</v>
      </c>
      <c r="L37" s="2"/>
      <c r="M37" s="2"/>
      <c r="N37" s="2"/>
      <c r="O37" s="2"/>
      <c r="P37" s="2"/>
      <c r="Q37" s="2"/>
      <c r="R37" s="43">
        <f t="shared" si="0"/>
        <v>8</v>
      </c>
      <c r="S37" s="44">
        <f>R37/Q11*100</f>
        <v>80</v>
      </c>
      <c r="T37" s="100" t="str">
        <f t="shared" si="1"/>
        <v>Pengayaan</v>
      </c>
      <c r="U37" s="94">
        <v>80</v>
      </c>
      <c r="V37" s="94">
        <v>80</v>
      </c>
      <c r="W37" s="42" t="s">
        <v>171</v>
      </c>
      <c r="X37" s="2"/>
      <c r="Y37" s="2"/>
      <c r="Z37" s="2"/>
      <c r="AA37" s="2"/>
      <c r="AB37" s="2"/>
      <c r="AC37" s="2" t="s">
        <v>24</v>
      </c>
      <c r="AD37" s="50">
        <v>80</v>
      </c>
      <c r="AE37" s="50">
        <v>80</v>
      </c>
      <c r="AF37" s="42" t="s">
        <v>171</v>
      </c>
      <c r="AG37" s="70" t="s">
        <v>24</v>
      </c>
      <c r="AH37" s="2">
        <v>80</v>
      </c>
      <c r="AI37" s="2">
        <v>80</v>
      </c>
      <c r="AJ37" s="42" t="s">
        <v>171</v>
      </c>
      <c r="AK37" s="32"/>
      <c r="AL37" s="110"/>
      <c r="AM37" s="110"/>
      <c r="AN37" s="33"/>
      <c r="AO37" s="70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43">
        <f t="shared" si="2"/>
        <v>0</v>
      </c>
      <c r="BB37" s="44">
        <f>BA37/AZ11*100</f>
        <v>0</v>
      </c>
      <c r="BC37" s="35" t="str">
        <f t="shared" si="3"/>
        <v>Pengayaan</v>
      </c>
      <c r="BD37" s="68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43">
        <f t="shared" si="4"/>
        <v>0</v>
      </c>
      <c r="BQ37" s="44">
        <f>BP37/BO11*100</f>
        <v>0</v>
      </c>
      <c r="BR37" s="35" t="str">
        <f t="shared" si="5"/>
        <v>Pengayaan</v>
      </c>
    </row>
    <row r="38" spans="1:74" ht="15" customHeight="1" x14ac:dyDescent="0.35">
      <c r="A38" s="41">
        <v>27</v>
      </c>
      <c r="B38" s="41" t="s">
        <v>148</v>
      </c>
      <c r="C38" s="30" t="s">
        <v>105</v>
      </c>
      <c r="D38" s="31"/>
      <c r="E38" s="36"/>
      <c r="F38" s="70">
        <v>70</v>
      </c>
      <c r="G38" s="2">
        <v>2</v>
      </c>
      <c r="H38" s="2">
        <v>2</v>
      </c>
      <c r="I38" s="2">
        <v>2</v>
      </c>
      <c r="J38" s="2">
        <v>2</v>
      </c>
      <c r="K38" s="2">
        <v>0</v>
      </c>
      <c r="L38" s="2"/>
      <c r="M38" s="2"/>
      <c r="N38" s="2"/>
      <c r="O38" s="2"/>
      <c r="P38" s="2"/>
      <c r="Q38" s="2"/>
      <c r="R38" s="43">
        <f t="shared" si="0"/>
        <v>8</v>
      </c>
      <c r="S38" s="44">
        <f>R38/Q11*100</f>
        <v>80</v>
      </c>
      <c r="T38" s="100" t="str">
        <f t="shared" si="1"/>
        <v>Pengayaan</v>
      </c>
      <c r="U38" s="94">
        <v>80</v>
      </c>
      <c r="V38" s="94">
        <v>80</v>
      </c>
      <c r="W38" s="42" t="s">
        <v>171</v>
      </c>
      <c r="X38" s="2"/>
      <c r="Y38" s="2"/>
      <c r="Z38" s="2"/>
      <c r="AA38" s="2"/>
      <c r="AB38" s="2"/>
      <c r="AC38" s="2" t="s">
        <v>24</v>
      </c>
      <c r="AD38" s="50">
        <v>80</v>
      </c>
      <c r="AE38" s="50">
        <v>80</v>
      </c>
      <c r="AF38" s="42" t="s">
        <v>171</v>
      </c>
      <c r="AG38" s="70" t="s">
        <v>24</v>
      </c>
      <c r="AH38" s="2">
        <v>80</v>
      </c>
      <c r="AI38" s="2">
        <v>80</v>
      </c>
      <c r="AJ38" s="42" t="s">
        <v>171</v>
      </c>
      <c r="AK38" s="32"/>
      <c r="AL38" s="110"/>
      <c r="AM38" s="110"/>
      <c r="AN38" s="33"/>
      <c r="AO38" s="70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43">
        <f t="shared" si="2"/>
        <v>0</v>
      </c>
      <c r="BB38" s="44">
        <f>BA38/AZ11*100</f>
        <v>0</v>
      </c>
      <c r="BC38" s="35" t="str">
        <f t="shared" si="3"/>
        <v>Pengayaan</v>
      </c>
      <c r="BD38" s="68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43">
        <f t="shared" si="4"/>
        <v>0</v>
      </c>
      <c r="BQ38" s="44">
        <f>BP38/BO11*100</f>
        <v>0</v>
      </c>
      <c r="BR38" s="35" t="str">
        <f t="shared" si="5"/>
        <v>Pengayaan</v>
      </c>
    </row>
    <row r="39" spans="1:74" ht="15" customHeight="1" x14ac:dyDescent="0.35">
      <c r="A39" s="45">
        <v>28</v>
      </c>
      <c r="B39" s="41" t="s">
        <v>149</v>
      </c>
      <c r="C39" s="30" t="s">
        <v>118</v>
      </c>
      <c r="D39" s="31"/>
      <c r="E39" s="36"/>
      <c r="F39" s="70">
        <v>70</v>
      </c>
      <c r="G39" s="2">
        <v>0</v>
      </c>
      <c r="H39" s="2">
        <v>2</v>
      </c>
      <c r="I39" s="2">
        <v>2</v>
      </c>
      <c r="J39" s="2">
        <v>2</v>
      </c>
      <c r="K39" s="2">
        <v>2</v>
      </c>
      <c r="L39" s="2"/>
      <c r="M39" s="2"/>
      <c r="N39" s="2"/>
      <c r="O39" s="2"/>
      <c r="P39" s="2"/>
      <c r="Q39" s="2"/>
      <c r="R39" s="43">
        <f t="shared" si="0"/>
        <v>8</v>
      </c>
      <c r="S39" s="44">
        <f>R39/Q11*100</f>
        <v>80</v>
      </c>
      <c r="T39" s="100" t="str">
        <f t="shared" si="1"/>
        <v>Pengayaan</v>
      </c>
      <c r="U39" s="94">
        <v>80</v>
      </c>
      <c r="V39" s="94">
        <v>80</v>
      </c>
      <c r="W39" s="42" t="s">
        <v>171</v>
      </c>
      <c r="X39" s="2"/>
      <c r="Y39" s="2"/>
      <c r="Z39" s="2"/>
      <c r="AA39" s="2"/>
      <c r="AB39" s="2"/>
      <c r="AC39" s="2" t="s">
        <v>24</v>
      </c>
      <c r="AD39" s="50">
        <v>80</v>
      </c>
      <c r="AE39" s="50">
        <v>80</v>
      </c>
      <c r="AF39" s="42" t="s">
        <v>171</v>
      </c>
      <c r="AG39" s="70" t="s">
        <v>24</v>
      </c>
      <c r="AH39" s="2">
        <v>80</v>
      </c>
      <c r="AI39" s="2">
        <v>80</v>
      </c>
      <c r="AJ39" s="42" t="s">
        <v>171</v>
      </c>
      <c r="AK39" s="32"/>
      <c r="AL39" s="110"/>
      <c r="AM39" s="110"/>
      <c r="AN39" s="33"/>
      <c r="AO39" s="70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43">
        <f t="shared" si="2"/>
        <v>0</v>
      </c>
      <c r="BB39" s="44">
        <f>BA39/AZ11*100</f>
        <v>0</v>
      </c>
      <c r="BC39" s="35" t="str">
        <f t="shared" si="3"/>
        <v>Pengayaan</v>
      </c>
      <c r="BD39" s="68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43">
        <f t="shared" si="4"/>
        <v>0</v>
      </c>
      <c r="BQ39" s="44">
        <f>BP39/BO11*100</f>
        <v>0</v>
      </c>
      <c r="BR39" s="35" t="str">
        <f t="shared" si="5"/>
        <v>Pengayaan</v>
      </c>
    </row>
    <row r="40" spans="1:74" ht="15" customHeight="1" x14ac:dyDescent="0.35">
      <c r="A40" s="41">
        <v>29</v>
      </c>
      <c r="B40" s="41" t="s">
        <v>150</v>
      </c>
      <c r="C40" s="30" t="s">
        <v>106</v>
      </c>
      <c r="D40" s="31"/>
      <c r="E40" s="36"/>
      <c r="F40" s="70">
        <v>70</v>
      </c>
      <c r="G40" s="2">
        <v>0</v>
      </c>
      <c r="H40" s="2">
        <v>2</v>
      </c>
      <c r="I40" s="2">
        <v>2</v>
      </c>
      <c r="J40" s="2">
        <v>2</v>
      </c>
      <c r="K40" s="2">
        <v>2</v>
      </c>
      <c r="L40" s="2"/>
      <c r="M40" s="2"/>
      <c r="N40" s="2"/>
      <c r="O40" s="2"/>
      <c r="P40" s="2"/>
      <c r="Q40" s="2"/>
      <c r="R40" s="43">
        <f t="shared" si="0"/>
        <v>8</v>
      </c>
      <c r="S40" s="44">
        <f>R40/Q11*100</f>
        <v>80</v>
      </c>
      <c r="T40" s="100" t="str">
        <f t="shared" si="1"/>
        <v>Pengayaan</v>
      </c>
      <c r="U40" s="94">
        <v>80</v>
      </c>
      <c r="V40" s="94">
        <v>80</v>
      </c>
      <c r="W40" s="42" t="s">
        <v>171</v>
      </c>
      <c r="X40" s="2"/>
      <c r="Y40" s="2"/>
      <c r="Z40" s="2"/>
      <c r="AA40" s="2"/>
      <c r="AB40" s="2"/>
      <c r="AC40" s="2" t="s">
        <v>24</v>
      </c>
      <c r="AD40" s="50">
        <v>80</v>
      </c>
      <c r="AE40" s="50">
        <v>80</v>
      </c>
      <c r="AF40" s="42" t="s">
        <v>171</v>
      </c>
      <c r="AG40" s="70" t="s">
        <v>24</v>
      </c>
      <c r="AH40" s="2">
        <v>80</v>
      </c>
      <c r="AI40" s="2">
        <v>80</v>
      </c>
      <c r="AJ40" s="42" t="s">
        <v>171</v>
      </c>
      <c r="AK40" s="32"/>
      <c r="AL40" s="110"/>
      <c r="AM40" s="110"/>
      <c r="AN40" s="33"/>
      <c r="AO40" s="70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43">
        <f t="shared" si="2"/>
        <v>0</v>
      </c>
      <c r="BB40" s="44">
        <f>BA40/AZ11*100</f>
        <v>0</v>
      </c>
      <c r="BC40" s="35" t="str">
        <f t="shared" si="3"/>
        <v>Pengayaan</v>
      </c>
      <c r="BD40" s="68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43">
        <f t="shared" si="4"/>
        <v>0</v>
      </c>
      <c r="BQ40" s="44">
        <f>BP40/BO11*100</f>
        <v>0</v>
      </c>
      <c r="BR40" s="35" t="str">
        <f t="shared" si="5"/>
        <v>Pengayaan</v>
      </c>
    </row>
    <row r="41" spans="1:74" ht="15" customHeight="1" x14ac:dyDescent="0.35">
      <c r="A41" s="45">
        <v>30</v>
      </c>
      <c r="B41" s="41" t="s">
        <v>151</v>
      </c>
      <c r="C41" s="30" t="s">
        <v>107</v>
      </c>
      <c r="D41" s="31"/>
      <c r="E41" s="36"/>
      <c r="F41" s="70">
        <v>70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/>
      <c r="M41" s="2"/>
      <c r="N41" s="2"/>
      <c r="O41" s="2"/>
      <c r="P41" s="2"/>
      <c r="Q41" s="2"/>
      <c r="R41" s="43">
        <f t="shared" si="0"/>
        <v>10</v>
      </c>
      <c r="S41" s="44">
        <f>R41/Q11*100</f>
        <v>100</v>
      </c>
      <c r="T41" s="100" t="str">
        <f t="shared" si="1"/>
        <v>Pengayaan</v>
      </c>
      <c r="U41" s="94">
        <v>100</v>
      </c>
      <c r="V41" s="94">
        <v>100</v>
      </c>
      <c r="W41" s="42" t="s">
        <v>171</v>
      </c>
      <c r="X41" s="2"/>
      <c r="Y41" s="2"/>
      <c r="Z41" s="2"/>
      <c r="AA41" s="2"/>
      <c r="AB41" s="2"/>
      <c r="AC41" s="2" t="s">
        <v>24</v>
      </c>
      <c r="AD41" s="50">
        <v>100</v>
      </c>
      <c r="AE41" s="50">
        <v>100</v>
      </c>
      <c r="AF41" s="42" t="s">
        <v>171</v>
      </c>
      <c r="AG41" s="70" t="s">
        <v>24</v>
      </c>
      <c r="AH41" s="2">
        <v>80</v>
      </c>
      <c r="AI41" s="2">
        <v>80</v>
      </c>
      <c r="AJ41" s="42" t="s">
        <v>171</v>
      </c>
      <c r="AK41" s="32"/>
      <c r="AL41" s="110"/>
      <c r="AM41" s="110"/>
      <c r="AN41" s="33"/>
      <c r="AO41" s="70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43">
        <f t="shared" si="2"/>
        <v>0</v>
      </c>
      <c r="BB41" s="44">
        <f>BA41/AZ11*100</f>
        <v>0</v>
      </c>
      <c r="BC41" s="35" t="str">
        <f t="shared" si="3"/>
        <v>Pengayaan</v>
      </c>
      <c r="BD41" s="68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43">
        <f t="shared" si="4"/>
        <v>0</v>
      </c>
      <c r="BQ41" s="44">
        <f>BP41/BO11*100</f>
        <v>0</v>
      </c>
      <c r="BR41" s="35" t="str">
        <f t="shared" si="5"/>
        <v>Pengayaan</v>
      </c>
    </row>
    <row r="42" spans="1:74" ht="15" customHeight="1" x14ac:dyDescent="0.35">
      <c r="A42" s="41">
        <v>31</v>
      </c>
      <c r="B42" s="41" t="s">
        <v>152</v>
      </c>
      <c r="C42" s="30" t="s">
        <v>108</v>
      </c>
      <c r="D42" s="31"/>
      <c r="E42" s="36"/>
      <c r="F42" s="70">
        <v>70</v>
      </c>
      <c r="G42" s="2">
        <v>0</v>
      </c>
      <c r="H42" s="2">
        <v>0</v>
      </c>
      <c r="I42" s="2">
        <v>2</v>
      </c>
      <c r="J42" s="2">
        <v>2</v>
      </c>
      <c r="K42" s="2">
        <v>2</v>
      </c>
      <c r="L42" s="2"/>
      <c r="M42" s="2"/>
      <c r="N42" s="2"/>
      <c r="O42" s="2"/>
      <c r="P42" s="2"/>
      <c r="Q42" s="2"/>
      <c r="R42" s="43">
        <f t="shared" si="0"/>
        <v>6</v>
      </c>
      <c r="S42" s="44">
        <f>R42/Q11*100</f>
        <v>60</v>
      </c>
      <c r="T42" s="100" t="str">
        <f>IFERROR(IF(S42&lt;F42,"Perbaikan",IF(S42&gt;=F42,"Pengayaan","")),"")</f>
        <v>Perbaikan</v>
      </c>
      <c r="U42" s="94">
        <v>60</v>
      </c>
      <c r="V42" s="94">
        <v>70</v>
      </c>
      <c r="W42" s="42" t="s">
        <v>171</v>
      </c>
      <c r="X42" s="2"/>
      <c r="Y42" s="2"/>
      <c r="Z42" s="2"/>
      <c r="AA42" s="2"/>
      <c r="AB42" s="2"/>
      <c r="AC42" s="2" t="s">
        <v>24</v>
      </c>
      <c r="AD42" s="50">
        <v>80</v>
      </c>
      <c r="AE42" s="50">
        <v>80</v>
      </c>
      <c r="AF42" s="42" t="s">
        <v>171</v>
      </c>
      <c r="AG42" s="70" t="s">
        <v>24</v>
      </c>
      <c r="AH42" s="2">
        <v>80</v>
      </c>
      <c r="AI42" s="2">
        <v>80</v>
      </c>
      <c r="AJ42" s="42" t="s">
        <v>171</v>
      </c>
      <c r="AK42" s="32"/>
      <c r="AL42" s="110"/>
      <c r="AM42" s="110"/>
      <c r="AN42" s="33"/>
      <c r="AO42" s="70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43">
        <f t="shared" si="2"/>
        <v>0</v>
      </c>
      <c r="BB42" s="44">
        <f>BA42/AZ11*100</f>
        <v>0</v>
      </c>
      <c r="BC42" s="35" t="str">
        <f t="shared" si="3"/>
        <v>Pengayaan</v>
      </c>
      <c r="BD42" s="68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43">
        <f t="shared" si="4"/>
        <v>0</v>
      </c>
      <c r="BQ42" s="44">
        <f>BP42/BO11*100</f>
        <v>0</v>
      </c>
      <c r="BR42" s="35" t="str">
        <f t="shared" si="5"/>
        <v>Pengayaan</v>
      </c>
    </row>
    <row r="43" spans="1:74" ht="15" customHeight="1" x14ac:dyDescent="0.35">
      <c r="A43" s="45">
        <v>32</v>
      </c>
      <c r="B43" s="41" t="s">
        <v>153</v>
      </c>
      <c r="C43" s="30" t="s">
        <v>119</v>
      </c>
      <c r="D43" s="31"/>
      <c r="E43" s="36"/>
      <c r="F43" s="70">
        <v>70</v>
      </c>
      <c r="G43" s="2">
        <v>0</v>
      </c>
      <c r="H43" s="2">
        <v>2</v>
      </c>
      <c r="I43" s="2">
        <v>2</v>
      </c>
      <c r="J43" s="2">
        <v>2</v>
      </c>
      <c r="K43" s="2">
        <v>2</v>
      </c>
      <c r="L43" s="2"/>
      <c r="M43" s="2"/>
      <c r="N43" s="2"/>
      <c r="O43" s="2"/>
      <c r="P43" s="2"/>
      <c r="Q43" s="2"/>
      <c r="R43" s="43">
        <f t="shared" si="0"/>
        <v>8</v>
      </c>
      <c r="S43" s="44">
        <f>R43/Q11*100</f>
        <v>80</v>
      </c>
      <c r="T43" s="100" t="str">
        <f t="shared" si="1"/>
        <v>Pengayaan</v>
      </c>
      <c r="U43" s="94">
        <v>80</v>
      </c>
      <c r="V43" s="94">
        <v>80</v>
      </c>
      <c r="W43" s="42" t="s">
        <v>171</v>
      </c>
      <c r="X43" s="2"/>
      <c r="Y43" s="2"/>
      <c r="Z43" s="2"/>
      <c r="AA43" s="2"/>
      <c r="AB43" s="2"/>
      <c r="AC43" s="2" t="s">
        <v>24</v>
      </c>
      <c r="AD43" s="50">
        <v>80</v>
      </c>
      <c r="AE43" s="50">
        <v>80</v>
      </c>
      <c r="AF43" s="42" t="s">
        <v>171</v>
      </c>
      <c r="AG43" s="70" t="s">
        <v>24</v>
      </c>
      <c r="AH43" s="2">
        <v>80</v>
      </c>
      <c r="AI43" s="2">
        <v>80</v>
      </c>
      <c r="AJ43" s="42" t="s">
        <v>171</v>
      </c>
      <c r="AK43" s="32"/>
      <c r="AL43" s="110"/>
      <c r="AM43" s="110"/>
      <c r="AN43" s="33"/>
      <c r="AO43" s="70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43">
        <f t="shared" si="2"/>
        <v>0</v>
      </c>
      <c r="BB43" s="44">
        <f>BA43/AZ11*100</f>
        <v>0</v>
      </c>
      <c r="BC43" s="35" t="str">
        <f t="shared" si="3"/>
        <v>Pengayaan</v>
      </c>
      <c r="BD43" s="68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43">
        <f t="shared" si="4"/>
        <v>0</v>
      </c>
      <c r="BQ43" s="44">
        <f>BP43/BO11*100</f>
        <v>0</v>
      </c>
      <c r="BR43" s="35" t="str">
        <f t="shared" si="5"/>
        <v>Pengayaan</v>
      </c>
    </row>
    <row r="44" spans="1:74" ht="15" customHeight="1" x14ac:dyDescent="0.35">
      <c r="A44" s="41">
        <v>33</v>
      </c>
      <c r="B44" s="46" t="s">
        <v>154</v>
      </c>
      <c r="C44" s="34" t="s">
        <v>109</v>
      </c>
      <c r="D44" s="31"/>
      <c r="E44" s="36"/>
      <c r="F44" s="70">
        <v>70</v>
      </c>
      <c r="G44" s="2">
        <v>0</v>
      </c>
      <c r="H44" s="2">
        <v>2</v>
      </c>
      <c r="I44" s="2">
        <v>2</v>
      </c>
      <c r="J44" s="2">
        <v>2</v>
      </c>
      <c r="K44" s="2">
        <v>2</v>
      </c>
      <c r="L44" s="2"/>
      <c r="M44" s="2"/>
      <c r="N44" s="2"/>
      <c r="O44" s="2"/>
      <c r="P44" s="2"/>
      <c r="Q44" s="2"/>
      <c r="R44" s="53">
        <f t="shared" si="0"/>
        <v>8</v>
      </c>
      <c r="S44" s="54">
        <f>R44/Q11*100</f>
        <v>80</v>
      </c>
      <c r="T44" s="100" t="str">
        <f t="shared" si="1"/>
        <v>Pengayaan</v>
      </c>
      <c r="U44" s="94">
        <v>80</v>
      </c>
      <c r="V44" s="94">
        <v>80</v>
      </c>
      <c r="W44" s="42" t="s">
        <v>171</v>
      </c>
      <c r="X44" s="2"/>
      <c r="Y44" s="2"/>
      <c r="Z44" s="2"/>
      <c r="AA44" s="2"/>
      <c r="AB44" s="2"/>
      <c r="AC44" s="2" t="s">
        <v>24</v>
      </c>
      <c r="AD44" s="2">
        <v>80</v>
      </c>
      <c r="AE44" s="2">
        <v>80</v>
      </c>
      <c r="AF44" s="42" t="s">
        <v>171</v>
      </c>
      <c r="AG44" s="70" t="s">
        <v>24</v>
      </c>
      <c r="AH44" s="2">
        <v>100</v>
      </c>
      <c r="AI44" s="2">
        <v>100</v>
      </c>
      <c r="AJ44" s="42" t="s">
        <v>171</v>
      </c>
      <c r="AK44" s="32"/>
      <c r="AL44" s="110"/>
      <c r="AM44" s="110"/>
      <c r="AN44" s="33"/>
      <c r="AO44" s="70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53">
        <f t="shared" si="2"/>
        <v>0</v>
      </c>
      <c r="BB44" s="54">
        <f>BA44/AZ11*100</f>
        <v>0</v>
      </c>
      <c r="BC44" s="35" t="str">
        <f t="shared" si="3"/>
        <v>Pengayaan</v>
      </c>
      <c r="BD44" s="68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53">
        <f t="shared" si="4"/>
        <v>0</v>
      </c>
      <c r="BQ44" s="54">
        <f>BP44/BO11*100</f>
        <v>0</v>
      </c>
      <c r="BR44" s="35" t="str">
        <f t="shared" si="5"/>
        <v>Pengayaan</v>
      </c>
    </row>
    <row r="45" spans="1:74" ht="15" customHeight="1" x14ac:dyDescent="0.35">
      <c r="A45" s="55"/>
      <c r="B45" s="55"/>
      <c r="C45" s="36"/>
      <c r="D45" s="36"/>
      <c r="E45" s="36"/>
      <c r="F45" s="36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56"/>
      <c r="S45" s="57"/>
      <c r="T45" s="101"/>
      <c r="U45" s="58"/>
      <c r="V45" s="18"/>
      <c r="W45" s="18"/>
      <c r="X45" s="18"/>
      <c r="Y45" s="18"/>
      <c r="Z45" s="18"/>
      <c r="AA45" s="18"/>
      <c r="AB45" s="18"/>
      <c r="AC45" s="18"/>
      <c r="AD45" s="18"/>
      <c r="AE45" s="102"/>
      <c r="AF45" s="101"/>
      <c r="AG45" s="36"/>
      <c r="AH45" s="18"/>
      <c r="AI45" s="18"/>
      <c r="AJ45" s="18"/>
      <c r="AO45" s="36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56"/>
      <c r="BB45" s="57"/>
      <c r="BC45" s="58"/>
      <c r="BD45" s="5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56"/>
      <c r="BQ45" s="57"/>
      <c r="BR45" s="58"/>
    </row>
    <row r="46" spans="1:74" ht="15" customHeight="1" x14ac:dyDescent="0.35">
      <c r="A46" s="55"/>
      <c r="B46" s="55"/>
      <c r="C46" s="36"/>
      <c r="D46" s="36"/>
      <c r="E46" s="36"/>
      <c r="F46" s="36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56"/>
      <c r="S46" s="57"/>
      <c r="T46" s="101"/>
      <c r="U46" s="58"/>
      <c r="V46" s="18"/>
      <c r="W46" s="18"/>
      <c r="X46" s="18"/>
      <c r="Y46" s="18"/>
      <c r="Z46" s="18"/>
      <c r="AA46" s="18"/>
      <c r="AB46" s="18"/>
      <c r="AC46" s="18"/>
      <c r="AD46" s="18"/>
      <c r="AE46" s="102"/>
      <c r="AF46" s="101"/>
      <c r="AG46" s="36"/>
      <c r="AH46" s="18"/>
      <c r="AI46" s="18"/>
      <c r="AJ46" s="18"/>
      <c r="AO46" s="36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56"/>
      <c r="BB46" s="57"/>
      <c r="BC46" s="58"/>
      <c r="BD46" s="5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56"/>
      <c r="BQ46" s="57"/>
      <c r="BR46" s="58"/>
    </row>
    <row r="47" spans="1:74" s="61" customFormat="1" ht="15" customHeight="1" x14ac:dyDescent="0.3">
      <c r="A47" s="59"/>
      <c r="B47" s="59"/>
      <c r="C47" s="59" t="s">
        <v>11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 t="s">
        <v>238</v>
      </c>
      <c r="AH47" s="59"/>
      <c r="AI47" s="59"/>
      <c r="AJ47" s="59"/>
      <c r="AK47" s="59"/>
      <c r="AL47" s="59"/>
      <c r="AM47" s="59"/>
      <c r="AN47" s="59"/>
      <c r="AO47" s="59"/>
      <c r="AP47" s="59"/>
      <c r="AQ47" s="59">
        <f>AI47</f>
        <v>0</v>
      </c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 t="e">
        <f>#REF!</f>
        <v>#REF!</v>
      </c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</row>
    <row r="48" spans="1:74" s="61" customFormat="1" ht="15" customHeight="1" x14ac:dyDescent="0.3">
      <c r="A48" s="59"/>
      <c r="B48" s="59"/>
      <c r="C48" s="59" t="s">
        <v>156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 t="s">
        <v>237</v>
      </c>
      <c r="AH48" s="59"/>
      <c r="AI48" s="59"/>
      <c r="AJ48" s="59"/>
      <c r="AK48" s="59"/>
      <c r="AL48" s="59"/>
      <c r="AM48" s="59"/>
      <c r="AN48" s="59"/>
      <c r="AO48" s="59"/>
      <c r="AP48" s="59"/>
      <c r="AQ48" s="59">
        <f>AI48</f>
        <v>0</v>
      </c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 t="e">
        <f>#REF!</f>
        <v>#REF!</v>
      </c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</row>
    <row r="49" spans="1:74" s="61" customFormat="1" ht="15" customHeight="1" x14ac:dyDescent="0.3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</row>
    <row r="50" spans="1:74" s="61" customFormat="1" ht="15" customHeight="1" x14ac:dyDescent="0.3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</row>
    <row r="51" spans="1:74" s="61" customFormat="1" ht="15" customHeight="1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</row>
    <row r="52" spans="1:74" s="61" customFormat="1" ht="15" customHeight="1" x14ac:dyDescent="0.3">
      <c r="A52" s="59"/>
      <c r="B52" s="59"/>
      <c r="C52" s="71" t="s">
        <v>72</v>
      </c>
      <c r="D52" s="71"/>
      <c r="E52" s="71"/>
      <c r="F52" s="71"/>
      <c r="G52" s="59"/>
      <c r="H52" s="71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71"/>
      <c r="Z52" s="59"/>
      <c r="AA52" s="59"/>
      <c r="AB52" s="59"/>
      <c r="AC52" s="59"/>
      <c r="AD52" s="59"/>
      <c r="AE52" s="59"/>
      <c r="AF52" s="59"/>
      <c r="AG52" s="71" t="s">
        <v>157</v>
      </c>
      <c r="AH52" s="71"/>
      <c r="AI52" s="71"/>
      <c r="AJ52" s="71"/>
      <c r="AK52" s="59"/>
      <c r="AL52" s="59"/>
      <c r="AM52" s="59"/>
      <c r="AN52" s="59"/>
      <c r="AO52" s="71"/>
      <c r="AP52" s="59"/>
      <c r="AQ52" s="71">
        <f>AI52</f>
        <v>0</v>
      </c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71" t="e">
        <f>#REF!</f>
        <v>#REF!</v>
      </c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</row>
    <row r="53" spans="1:74" s="61" customFormat="1" ht="15" customHeight="1" x14ac:dyDescent="0.3">
      <c r="A53" s="59"/>
      <c r="B53" s="59"/>
      <c r="C53" s="60" t="s">
        <v>73</v>
      </c>
      <c r="D53" s="60"/>
      <c r="E53" s="60"/>
      <c r="F53" s="60"/>
      <c r="G53" s="59"/>
      <c r="H53" s="60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60"/>
      <c r="Z53" s="59"/>
      <c r="AA53" s="59"/>
      <c r="AB53" s="59"/>
      <c r="AC53" s="59"/>
      <c r="AD53" s="59"/>
      <c r="AE53" s="59"/>
      <c r="AF53" s="59"/>
      <c r="AG53" s="60" t="s">
        <v>158</v>
      </c>
      <c r="AH53" s="60"/>
      <c r="AI53" s="60"/>
      <c r="AJ53" s="60"/>
      <c r="AK53" s="59"/>
      <c r="AL53" s="59"/>
      <c r="AM53" s="59"/>
      <c r="AN53" s="59"/>
      <c r="AO53" s="60"/>
      <c r="AP53" s="59"/>
      <c r="AQ53" s="60">
        <f>AI53</f>
        <v>0</v>
      </c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60" t="e">
        <f>#REF!</f>
        <v>#REF!</v>
      </c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</row>
    <row r="54" spans="1:74" ht="15" customHeight="1" x14ac:dyDescent="0.35"/>
    <row r="55" spans="1:74" ht="15" customHeight="1" x14ac:dyDescent="0.35"/>
    <row r="56" spans="1:74" ht="15" customHeight="1" x14ac:dyDescent="0.35"/>
    <row r="57" spans="1:74" ht="14.4" customHeight="1" x14ac:dyDescent="0.35"/>
    <row r="58" spans="1:74" ht="14.4" customHeight="1" x14ac:dyDescent="0.35"/>
    <row r="59" spans="1:74" ht="14.4" customHeight="1" x14ac:dyDescent="0.35"/>
    <row r="60" spans="1:74" ht="14.4" customHeight="1" x14ac:dyDescent="0.35"/>
    <row r="61" spans="1:74" ht="14.4" customHeight="1" x14ac:dyDescent="0.35"/>
    <row r="62" spans="1:74" ht="14.4" customHeight="1" x14ac:dyDescent="0.35"/>
    <row r="63" spans="1:74" ht="14.4" customHeight="1" x14ac:dyDescent="0.35"/>
    <row r="64" spans="1:74" ht="14.4" customHeight="1" x14ac:dyDescent="0.35"/>
    <row r="65" ht="14.4" customHeight="1" x14ac:dyDescent="0.35"/>
    <row r="66" ht="14.4" customHeight="1" x14ac:dyDescent="0.35"/>
    <row r="67" ht="14.4" customHeight="1" x14ac:dyDescent="0.35"/>
    <row r="68" ht="14.4" customHeight="1" x14ac:dyDescent="0.35"/>
    <row r="69" ht="14.4" customHeight="1" x14ac:dyDescent="0.35"/>
    <row r="70" ht="14.4" customHeight="1" x14ac:dyDescent="0.35"/>
    <row r="71" ht="14.4" customHeight="1" x14ac:dyDescent="0.35"/>
    <row r="72" ht="14.4" customHeight="1" x14ac:dyDescent="0.35"/>
    <row r="73" ht="14.4" customHeight="1" x14ac:dyDescent="0.35"/>
    <row r="74" ht="14.4" customHeight="1" x14ac:dyDescent="0.35"/>
    <row r="75" ht="14.4" customHeight="1" x14ac:dyDescent="0.35"/>
    <row r="76" ht="14.4" customHeight="1" x14ac:dyDescent="0.35"/>
    <row r="77" ht="14.4" customHeight="1" x14ac:dyDescent="0.35"/>
    <row r="78" ht="14.4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</sheetData>
  <mergeCells count="39">
    <mergeCell ref="AH1:AJ1"/>
    <mergeCell ref="AP1:BR1"/>
    <mergeCell ref="G2:AF2"/>
    <mergeCell ref="AH2:AJ2"/>
    <mergeCell ref="AP2:BR2"/>
    <mergeCell ref="A8:A10"/>
    <mergeCell ref="B8:B10"/>
    <mergeCell ref="C8:C10"/>
    <mergeCell ref="AG9:AG11"/>
    <mergeCell ref="G1:AF1"/>
    <mergeCell ref="V9:V11"/>
    <mergeCell ref="W9:W11"/>
    <mergeCell ref="T8:W8"/>
    <mergeCell ref="AC8:AF8"/>
    <mergeCell ref="T9:T11"/>
    <mergeCell ref="AC9:AC11"/>
    <mergeCell ref="AD9:AD11"/>
    <mergeCell ref="AE9:AE11"/>
    <mergeCell ref="BD8:BR8"/>
    <mergeCell ref="F9:F11"/>
    <mergeCell ref="R9:R10"/>
    <mergeCell ref="S9:S10"/>
    <mergeCell ref="U9:U11"/>
    <mergeCell ref="AO9:AO11"/>
    <mergeCell ref="AO8:BC8"/>
    <mergeCell ref="BR9:BR10"/>
    <mergeCell ref="G10:P10"/>
    <mergeCell ref="AP10:AY10"/>
    <mergeCell ref="BE10:BN10"/>
    <mergeCell ref="AF9:AF11"/>
    <mergeCell ref="BD9:BD11"/>
    <mergeCell ref="BP9:BP10"/>
    <mergeCell ref="BQ9:BQ10"/>
    <mergeCell ref="AH9:AH11"/>
    <mergeCell ref="AI9:AI11"/>
    <mergeCell ref="BA9:BA10"/>
    <mergeCell ref="BB9:BB10"/>
    <mergeCell ref="BC9:BC10"/>
    <mergeCell ref="AJ9:AJ11"/>
  </mergeCells>
  <pageMargins left="0.62992125984251968" right="0.19685039370078741" top="0.74803149606299213" bottom="1.3385826771653544" header="0.31496062992125984" footer="0.31496062992125984"/>
  <pageSetup paperSize="14" scale="8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366-5FA9-424F-BDFF-A1F3F5EA2964}">
  <dimension ref="A1:AB56"/>
  <sheetViews>
    <sheetView zoomScale="90" zoomScaleNormal="90" workbookViewId="0">
      <selection activeCell="O15" sqref="O15"/>
    </sheetView>
  </sheetViews>
  <sheetFormatPr defaultRowHeight="14.5" x14ac:dyDescent="0.35"/>
  <cols>
    <col min="1" max="1" width="4.08984375" customWidth="1"/>
    <col min="2" max="2" width="16.1796875" customWidth="1"/>
    <col min="3" max="3" width="20.1796875" customWidth="1"/>
    <col min="4" max="4" width="3.1796875" customWidth="1"/>
    <col min="5" max="19" width="2.54296875" customWidth="1"/>
    <col min="20" max="20" width="0.90625" customWidth="1"/>
    <col min="21" max="22" width="4.6328125" customWidth="1"/>
    <col min="23" max="23" width="59.1796875" customWidth="1"/>
    <col min="24" max="24" width="1.08984375" customWidth="1"/>
  </cols>
  <sheetData>
    <row r="1" spans="1:23" ht="15" customHeight="1" x14ac:dyDescent="0.35">
      <c r="A1" s="60"/>
      <c r="B1" s="60"/>
      <c r="C1" s="60"/>
      <c r="D1" s="156" t="s">
        <v>287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ht="15" customHeight="1" x14ac:dyDescent="0.35">
      <c r="A2" s="62"/>
      <c r="B2" s="62"/>
      <c r="C2" s="62"/>
      <c r="D2" s="158" t="str">
        <f>'oke Lingk. 1'!G2</f>
        <v>TAHUN AJARAN 2025/2026</v>
      </c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</row>
    <row r="3" spans="1:23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 x14ac:dyDescent="0.35">
      <c r="A4" s="1"/>
      <c r="B4" s="1"/>
      <c r="C4" s="1"/>
      <c r="D4" s="1"/>
      <c r="E4" s="1" t="s">
        <v>0</v>
      </c>
      <c r="F4" s="1"/>
      <c r="G4" s="1"/>
      <c r="H4" s="1"/>
      <c r="I4" s="1"/>
      <c r="J4" s="1"/>
      <c r="K4" s="1" t="s">
        <v>5</v>
      </c>
      <c r="L4" s="1" t="s">
        <v>162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 customHeight="1" x14ac:dyDescent="0.35">
      <c r="A5" s="1"/>
      <c r="B5" s="1"/>
      <c r="C5" s="1"/>
      <c r="D5" s="1"/>
      <c r="E5" s="1" t="s">
        <v>20</v>
      </c>
      <c r="F5" s="1"/>
      <c r="G5" s="1"/>
      <c r="H5" s="1"/>
      <c r="I5" s="1"/>
      <c r="J5" s="1"/>
      <c r="K5" s="1" t="s">
        <v>5</v>
      </c>
      <c r="L5" s="1" t="str">
        <f>'oke Lingk. 1'!N5</f>
        <v>PAI dan Budi Pekerti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" customHeight="1" x14ac:dyDescent="0.35">
      <c r="A6" s="1"/>
      <c r="B6" s="1"/>
      <c r="C6" s="1"/>
      <c r="D6" s="1"/>
      <c r="E6" s="1" t="s">
        <v>241</v>
      </c>
      <c r="F6" s="1"/>
      <c r="G6" s="1"/>
      <c r="H6" s="1"/>
      <c r="I6" s="1"/>
      <c r="J6" s="1"/>
      <c r="K6" s="1" t="s"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23" ht="17.399999999999999" customHeight="1" x14ac:dyDescent="0.35">
      <c r="A8" s="138" t="s">
        <v>1</v>
      </c>
      <c r="B8" s="138" t="s">
        <v>68</v>
      </c>
      <c r="C8" s="138" t="s">
        <v>2</v>
      </c>
      <c r="D8" s="135" t="s">
        <v>80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72"/>
      <c r="U8" s="72"/>
      <c r="V8" s="72"/>
      <c r="W8" s="73"/>
    </row>
    <row r="9" spans="1:23" ht="17.399999999999999" customHeight="1" x14ac:dyDescent="0.35">
      <c r="A9" s="149"/>
      <c r="B9" s="149"/>
      <c r="C9" s="149"/>
      <c r="D9" s="140" t="s">
        <v>77</v>
      </c>
      <c r="E9" s="63">
        <v>1</v>
      </c>
      <c r="F9" s="63">
        <v>2</v>
      </c>
      <c r="G9" s="63">
        <v>3</v>
      </c>
      <c r="H9" s="63">
        <v>4</v>
      </c>
      <c r="I9" s="63">
        <v>5</v>
      </c>
      <c r="J9" s="63">
        <v>6</v>
      </c>
      <c r="K9" s="63">
        <v>7</v>
      </c>
      <c r="L9" s="63">
        <v>8</v>
      </c>
      <c r="M9" s="63">
        <v>9</v>
      </c>
      <c r="N9" s="63">
        <v>10</v>
      </c>
      <c r="O9" s="63">
        <v>11</v>
      </c>
      <c r="P9" s="63">
        <v>12</v>
      </c>
      <c r="Q9" s="63">
        <v>13</v>
      </c>
      <c r="R9" s="63">
        <v>14</v>
      </c>
      <c r="S9" s="63">
        <v>15</v>
      </c>
      <c r="T9" s="20"/>
      <c r="U9" s="138" t="s">
        <v>71</v>
      </c>
      <c r="V9" s="133" t="s">
        <v>3</v>
      </c>
      <c r="W9" s="133" t="s">
        <v>70</v>
      </c>
    </row>
    <row r="10" spans="1:23" ht="17.399999999999999" customHeight="1" x14ac:dyDescent="0.35">
      <c r="A10" s="149"/>
      <c r="B10" s="149"/>
      <c r="C10" s="149"/>
      <c r="D10" s="141"/>
      <c r="E10" s="135" t="s">
        <v>78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20"/>
      <c r="U10" s="139"/>
      <c r="V10" s="134"/>
      <c r="W10" s="134"/>
    </row>
    <row r="11" spans="1:23" ht="17.399999999999999" customHeight="1" x14ac:dyDescent="0.35">
      <c r="A11" s="64"/>
      <c r="B11" s="64"/>
      <c r="C11" s="19" t="s">
        <v>69</v>
      </c>
      <c r="D11" s="142"/>
      <c r="E11" s="107">
        <v>1</v>
      </c>
      <c r="F11" s="107">
        <v>1</v>
      </c>
      <c r="G11" s="107">
        <v>1</v>
      </c>
      <c r="H11" s="107">
        <v>1</v>
      </c>
      <c r="I11" s="107">
        <v>1</v>
      </c>
      <c r="J11" s="107">
        <v>1</v>
      </c>
      <c r="K11" s="107">
        <v>1</v>
      </c>
      <c r="L11" s="107">
        <v>1</v>
      </c>
      <c r="M11" s="107">
        <v>1</v>
      </c>
      <c r="N11" s="107">
        <v>1</v>
      </c>
      <c r="O11" s="107">
        <v>2</v>
      </c>
      <c r="P11" s="107">
        <v>2</v>
      </c>
      <c r="Q11" s="107">
        <v>2</v>
      </c>
      <c r="R11" s="107">
        <v>2</v>
      </c>
      <c r="S11" s="107">
        <v>2</v>
      </c>
      <c r="T11" s="2">
        <f>SUM(E11:S11)</f>
        <v>20</v>
      </c>
      <c r="U11" s="2"/>
      <c r="V11" s="2"/>
      <c r="W11" s="2"/>
    </row>
    <row r="12" spans="1:23" ht="15" customHeight="1" x14ac:dyDescent="0.35">
      <c r="A12" s="41">
        <v>1</v>
      </c>
      <c r="B12" s="41" t="s">
        <v>120</v>
      </c>
      <c r="C12" s="30" t="s">
        <v>81</v>
      </c>
      <c r="D12" s="70">
        <v>70</v>
      </c>
      <c r="E12" s="42">
        <v>1</v>
      </c>
      <c r="F12" s="42">
        <v>1</v>
      </c>
      <c r="G12" s="42">
        <v>1</v>
      </c>
      <c r="H12" s="42">
        <v>1</v>
      </c>
      <c r="I12" s="42">
        <v>1</v>
      </c>
      <c r="J12" s="42">
        <v>0</v>
      </c>
      <c r="K12" s="42">
        <v>1</v>
      </c>
      <c r="L12" s="42">
        <v>1</v>
      </c>
      <c r="M12" s="42">
        <v>0</v>
      </c>
      <c r="N12" s="42">
        <v>1</v>
      </c>
      <c r="O12" s="42">
        <v>2</v>
      </c>
      <c r="P12" s="42">
        <v>2</v>
      </c>
      <c r="Q12" s="42">
        <v>2</v>
      </c>
      <c r="R12" s="42">
        <v>1</v>
      </c>
      <c r="S12" s="42">
        <v>1</v>
      </c>
      <c r="T12" s="2"/>
      <c r="U12" s="50">
        <f t="shared" ref="U12:U46" si="0">SUM(E12:S12)</f>
        <v>16</v>
      </c>
      <c r="V12" s="108">
        <f>U12/T11*100</f>
        <v>80</v>
      </c>
      <c r="W12" s="100" t="str">
        <f>IFERROR(IF(V12&lt;D12,"Perlu mengulang beberapa Tujuan Pembelajaran dalam Mata Pelajarann  ",IF(V12&gt;=D12,"Dinyatakan tuntas untuk seluruh Tujuan Pembelajaran dalam Mata Pelajaran ","")),"") &amp;L5</f>
        <v>Dinyatakan tuntas untuk seluruh Tujuan Pembelajaran dalam Mata Pelajaran PAI dan Budi Pekerti</v>
      </c>
    </row>
    <row r="13" spans="1:23" ht="15" customHeight="1" x14ac:dyDescent="0.35">
      <c r="A13" s="45">
        <v>2</v>
      </c>
      <c r="B13" s="41" t="s">
        <v>121</v>
      </c>
      <c r="C13" s="30" t="s">
        <v>82</v>
      </c>
      <c r="D13" s="70">
        <v>70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</v>
      </c>
      <c r="N13" s="2">
        <v>1</v>
      </c>
      <c r="O13" s="2">
        <v>2</v>
      </c>
      <c r="P13" s="2">
        <v>2</v>
      </c>
      <c r="Q13" s="2">
        <v>2</v>
      </c>
      <c r="R13" s="2">
        <v>2</v>
      </c>
      <c r="S13" s="2">
        <v>1</v>
      </c>
      <c r="T13" s="2"/>
      <c r="U13" s="50">
        <f t="shared" si="0"/>
        <v>18</v>
      </c>
      <c r="V13" s="108">
        <f>U13/T11*100</f>
        <v>90</v>
      </c>
      <c r="W13" s="100" t="str">
        <f>IFERROR(IF(V13&lt;D13,"Perlu mengulang beberapa Tujuan Pembelajaran dalam Mata Pelajarann  ",IF(V13&gt;=D13,"Dinyatakan tuntas untuk seluruh Tujuan Pembelajaran dalam Mata Pelajaran ","")),"") &amp;L5</f>
        <v>Dinyatakan tuntas untuk seluruh Tujuan Pembelajaran dalam Mata Pelajaran PAI dan Budi Pekerti</v>
      </c>
    </row>
    <row r="14" spans="1:23" ht="15" customHeight="1" x14ac:dyDescent="0.35">
      <c r="A14" s="45">
        <v>3</v>
      </c>
      <c r="B14" s="41" t="s">
        <v>122</v>
      </c>
      <c r="C14" s="30" t="s">
        <v>114</v>
      </c>
      <c r="D14" s="70">
        <v>70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2</v>
      </c>
      <c r="P14" s="2">
        <v>2</v>
      </c>
      <c r="Q14" s="2">
        <v>2</v>
      </c>
      <c r="R14" s="2">
        <v>2</v>
      </c>
      <c r="S14" s="2">
        <v>1</v>
      </c>
      <c r="T14" s="2"/>
      <c r="U14" s="50">
        <f t="shared" si="0"/>
        <v>17</v>
      </c>
      <c r="V14" s="108">
        <f>U14/T11*100</f>
        <v>85</v>
      </c>
      <c r="W14" s="100" t="str">
        <f>IFERROR(IF(V14&lt;D14,"Perlu mengulang beberapa Tujuan Pembelajaran dalam Mata Pelajarann  ",IF(V14&gt;=D14,"Dinyatakan tuntas untuk seluruh Tujuan Pembelajaran dalam Mata Pelajaran ","")),"") &amp;L5</f>
        <v>Dinyatakan tuntas untuk seluruh Tujuan Pembelajaran dalam Mata Pelajaran PAI dan Budi Pekerti</v>
      </c>
    </row>
    <row r="15" spans="1:23" ht="15" customHeight="1" x14ac:dyDescent="0.35">
      <c r="A15" s="45">
        <v>4</v>
      </c>
      <c r="B15" s="41" t="s">
        <v>123</v>
      </c>
      <c r="C15" s="30" t="s">
        <v>83</v>
      </c>
      <c r="D15" s="70">
        <v>70</v>
      </c>
      <c r="E15" s="2">
        <v>1</v>
      </c>
      <c r="F15" s="2">
        <v>1</v>
      </c>
      <c r="G15" s="2">
        <v>0</v>
      </c>
      <c r="H15" s="2">
        <v>1</v>
      </c>
      <c r="I15" s="2">
        <v>1</v>
      </c>
      <c r="J15" s="2">
        <v>0</v>
      </c>
      <c r="K15" s="2">
        <v>1</v>
      </c>
      <c r="L15" s="2">
        <v>1</v>
      </c>
      <c r="M15" s="2">
        <v>1</v>
      </c>
      <c r="N15" s="2">
        <v>1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  <c r="T15" s="2"/>
      <c r="U15" s="50">
        <f t="shared" si="0"/>
        <v>18</v>
      </c>
      <c r="V15" s="108">
        <f>U15/T11*100</f>
        <v>90</v>
      </c>
      <c r="W15" s="100" t="str">
        <f>IFERROR(IF(V15&lt;D15,"Perlu mengulang beberapa Tujuan Pembelajaran dalam Mata Pelajarann  ",IF(V15&gt;=D15,"Dinyatakan tuntas untuk seluruh Tujuan Pembelajaran dalam Mata Pelajaran ","")),"") &amp;L5</f>
        <v>Dinyatakan tuntas untuk seluruh Tujuan Pembelajaran dalam Mata Pelajaran PAI dan Budi Pekerti</v>
      </c>
    </row>
    <row r="16" spans="1:23" ht="15" customHeight="1" x14ac:dyDescent="0.35">
      <c r="A16" s="45">
        <v>5</v>
      </c>
      <c r="B16" s="41" t="s">
        <v>124</v>
      </c>
      <c r="C16" s="30" t="s">
        <v>115</v>
      </c>
      <c r="D16" s="70">
        <v>70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/>
      <c r="U16" s="50">
        <f t="shared" si="0"/>
        <v>11</v>
      </c>
      <c r="V16" s="108">
        <f>U16/T11*100</f>
        <v>55.000000000000007</v>
      </c>
      <c r="W16" s="100" t="str">
        <f>IFERROR(IF(V16&lt;D16,"Perlu mengulang beberapa Tujuan Pembelajaran dalam Mata Pelajarann  ",IF(V16&gt;=D16,"Dinyatakan tuntas untuk seluruh Tujuan Pembelajaran dalam Mata Pelajaran ","")),"") &amp;L5</f>
        <v>Perlu mengulang beberapa Tujuan Pembelajaran dalam Mata Pelajarann  PAI dan Budi Pekerti</v>
      </c>
    </row>
    <row r="17" spans="1:23" ht="15" customHeight="1" x14ac:dyDescent="0.35">
      <c r="A17" s="45">
        <v>6</v>
      </c>
      <c r="B17" s="41" t="s">
        <v>125</v>
      </c>
      <c r="C17" s="30" t="s">
        <v>84</v>
      </c>
      <c r="D17" s="70">
        <v>70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0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/>
      <c r="U17" s="50">
        <f t="shared" si="0"/>
        <v>18</v>
      </c>
      <c r="V17" s="108">
        <f>U17/T11*100</f>
        <v>90</v>
      </c>
      <c r="W17" s="100" t="str">
        <f>IFERROR(IF(V17&lt;D17,"Perlu mengulang beberapa Tujuan Pembelajaran dalam Mata Pelajarann  ",IF(V17&gt;=D17,"Dinyatakan tuntas untuk seluruh Tujuan Pembelajaran dalam Mata Pelajaran ","")),"") &amp;L5</f>
        <v>Dinyatakan tuntas untuk seluruh Tujuan Pembelajaran dalam Mata Pelajaran PAI dan Budi Pekerti</v>
      </c>
    </row>
    <row r="18" spans="1:23" ht="15" customHeight="1" x14ac:dyDescent="0.35">
      <c r="A18" s="45">
        <v>7</v>
      </c>
      <c r="B18" s="41" t="s">
        <v>126</v>
      </c>
      <c r="C18" s="30" t="s">
        <v>85</v>
      </c>
      <c r="D18" s="70">
        <v>70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2</v>
      </c>
      <c r="P18" s="2">
        <v>2</v>
      </c>
      <c r="Q18" s="2">
        <v>2</v>
      </c>
      <c r="R18" s="2">
        <v>2</v>
      </c>
      <c r="S18" s="2">
        <v>2</v>
      </c>
      <c r="T18" s="2"/>
      <c r="U18" s="50">
        <f t="shared" si="0"/>
        <v>15</v>
      </c>
      <c r="V18" s="108">
        <f>U18/T11*100</f>
        <v>75</v>
      </c>
      <c r="W18" s="100" t="str">
        <f>IFERROR(IF(V18&lt;D18,"Perlu mengulang beberapa Tujuan Pembelajaran dalam Mata Pelajarann  ",IF(V18&gt;=D18,"Dinyatakan tuntas untuk seluruh Tujuan Pembelajaran dalam Mata Pelajaran ","")),"") &amp;L5</f>
        <v>Dinyatakan tuntas untuk seluruh Tujuan Pembelajaran dalam Mata Pelajaran PAI dan Budi Pekerti</v>
      </c>
    </row>
    <row r="19" spans="1:23" ht="15" customHeight="1" x14ac:dyDescent="0.35">
      <c r="A19" s="45">
        <v>8</v>
      </c>
      <c r="B19" s="41" t="s">
        <v>127</v>
      </c>
      <c r="C19" s="30" t="s">
        <v>116</v>
      </c>
      <c r="D19" s="70">
        <v>70</v>
      </c>
      <c r="E19" s="2">
        <v>1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2</v>
      </c>
      <c r="P19" s="2">
        <v>2</v>
      </c>
      <c r="Q19" s="2">
        <v>2</v>
      </c>
      <c r="R19" s="2">
        <v>1</v>
      </c>
      <c r="S19" s="2">
        <v>1</v>
      </c>
      <c r="T19" s="2"/>
      <c r="U19" s="50">
        <f t="shared" si="0"/>
        <v>15</v>
      </c>
      <c r="V19" s="108">
        <f>U19/T11*100</f>
        <v>75</v>
      </c>
      <c r="W19" s="100" t="str">
        <f>IFERROR(IF(V19&lt;D19,"Perlu mengulang beberapa Tujuan Pembelajaran dalam Mata Pelajarann  ",IF(V19&gt;=D19,"Dinyatakan tuntas untuk seluruh Tujuan Pembelajaran dalam Mata Pelajaran ","")),"") &amp;L5</f>
        <v>Dinyatakan tuntas untuk seluruh Tujuan Pembelajaran dalam Mata Pelajaran PAI dan Budi Pekerti</v>
      </c>
    </row>
    <row r="20" spans="1:23" ht="15" customHeight="1" x14ac:dyDescent="0.35">
      <c r="A20" s="45">
        <v>9</v>
      </c>
      <c r="B20" s="41" t="s">
        <v>128</v>
      </c>
      <c r="C20" s="30" t="s">
        <v>86</v>
      </c>
      <c r="D20" s="70">
        <v>70</v>
      </c>
      <c r="E20" s="2">
        <v>0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0</v>
      </c>
      <c r="L20" s="2">
        <v>1</v>
      </c>
      <c r="M20" s="2">
        <v>0</v>
      </c>
      <c r="N20" s="2">
        <v>1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  <c r="T20" s="2"/>
      <c r="U20" s="50">
        <f t="shared" si="0"/>
        <v>17</v>
      </c>
      <c r="V20" s="108">
        <f>U20/T11*100</f>
        <v>85</v>
      </c>
      <c r="W20" s="100" t="str">
        <f>IFERROR(IF(V20&lt;D20,"Perlu mengulang beberapa Tujuan Pembelajaran dalam Mata Pelajarann  ",IF(V20&gt;=D20,"Dinyatakan tuntas untuk seluruh Tujuan Pembelajaran dalam Mata Pelajaran ","")),"") &amp;L5</f>
        <v>Dinyatakan tuntas untuk seluruh Tujuan Pembelajaran dalam Mata Pelajaran PAI dan Budi Pekerti</v>
      </c>
    </row>
    <row r="21" spans="1:23" ht="15" customHeight="1" x14ac:dyDescent="0.35">
      <c r="A21" s="45">
        <v>10</v>
      </c>
      <c r="B21" s="41" t="s">
        <v>129</v>
      </c>
      <c r="C21" s="30" t="s">
        <v>87</v>
      </c>
      <c r="D21" s="70">
        <v>70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0</v>
      </c>
      <c r="K21" s="2">
        <v>0</v>
      </c>
      <c r="L21" s="2">
        <v>1</v>
      </c>
      <c r="M21" s="2">
        <v>0</v>
      </c>
      <c r="N21" s="2">
        <v>1</v>
      </c>
      <c r="O21" s="2">
        <v>2</v>
      </c>
      <c r="P21" s="2">
        <v>2</v>
      </c>
      <c r="Q21" s="2">
        <v>1</v>
      </c>
      <c r="R21" s="2">
        <v>1</v>
      </c>
      <c r="S21" s="2">
        <v>1</v>
      </c>
      <c r="T21" s="2"/>
      <c r="U21" s="50">
        <f t="shared" si="0"/>
        <v>14</v>
      </c>
      <c r="V21" s="108">
        <f>U21/T11*100</f>
        <v>70</v>
      </c>
      <c r="W21" s="100" t="str">
        <f>IFERROR(IF(V21&lt;D21,"Perlu mengulang beberapa Tujuan Pembelajaran dalam Mata Pelajarann  ",IF(V21&gt;=D21,"Dinyatakan tuntas untuk seluruh Tujuan Pembelajaran dalam Mata Pelajaran ","")),"") &amp;L5</f>
        <v>Dinyatakan tuntas untuk seluruh Tujuan Pembelajaran dalam Mata Pelajaran PAI dan Budi Pekerti</v>
      </c>
    </row>
    <row r="22" spans="1:23" ht="15" customHeight="1" x14ac:dyDescent="0.35">
      <c r="A22" s="45">
        <v>11</v>
      </c>
      <c r="B22" s="41" t="s">
        <v>130</v>
      </c>
      <c r="C22" s="30" t="s">
        <v>88</v>
      </c>
      <c r="D22" s="70">
        <v>70</v>
      </c>
      <c r="E22" s="2">
        <v>0</v>
      </c>
      <c r="F22" s="2">
        <v>1</v>
      </c>
      <c r="G22" s="2">
        <v>0</v>
      </c>
      <c r="H22" s="2">
        <v>1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2</v>
      </c>
      <c r="P22" s="2">
        <v>2</v>
      </c>
      <c r="Q22" s="2">
        <v>2</v>
      </c>
      <c r="R22" s="2">
        <v>1</v>
      </c>
      <c r="S22" s="2">
        <v>0</v>
      </c>
      <c r="T22" s="2"/>
      <c r="U22" s="50">
        <f t="shared" si="0"/>
        <v>10</v>
      </c>
      <c r="V22" s="108">
        <f>U22/T11*100</f>
        <v>50</v>
      </c>
      <c r="W22" s="100" t="str">
        <f>IFERROR(IF(V22&lt;D22,"Perlu mengulang beberapa Tujuan Pembelajaran dalam Mata Pelajarann  ",IF(V22&gt;=D22,"Dinyatakan tuntas untuk seluruh Tujuan Pembelajaran dalam Mata Pelajaran ","")),"") &amp;L5</f>
        <v>Perlu mengulang beberapa Tujuan Pembelajaran dalam Mata Pelajarann  PAI dan Budi Pekerti</v>
      </c>
    </row>
    <row r="23" spans="1:23" ht="15" customHeight="1" x14ac:dyDescent="0.35">
      <c r="A23" s="45">
        <v>12</v>
      </c>
      <c r="B23" s="41" t="s">
        <v>131</v>
      </c>
      <c r="C23" s="30" t="s">
        <v>89</v>
      </c>
      <c r="D23" s="70">
        <v>70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1</v>
      </c>
      <c r="M23" s="2">
        <v>0</v>
      </c>
      <c r="N23" s="2">
        <v>1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/>
      <c r="U23" s="50">
        <f t="shared" si="0"/>
        <v>17</v>
      </c>
      <c r="V23" s="108">
        <f>U23/T11*100</f>
        <v>85</v>
      </c>
      <c r="W23" s="100" t="str">
        <f>IFERROR(IF(V23&lt;D23,"Perlu mengulang beberapa Tujuan Pembelajaran dalam Mata Pelajarann  ",IF(V23&gt;=D23,"Dinyatakan tuntas untuk seluruh Tujuan Pembelajaran dalam Mata Pelajaran ","")),"") &amp;L5</f>
        <v>Dinyatakan tuntas untuk seluruh Tujuan Pembelajaran dalam Mata Pelajaran PAI dan Budi Pekerti</v>
      </c>
    </row>
    <row r="24" spans="1:23" ht="15" customHeight="1" x14ac:dyDescent="0.35">
      <c r="A24" s="46">
        <v>13</v>
      </c>
      <c r="B24" s="41" t="s">
        <v>132</v>
      </c>
      <c r="C24" s="30" t="s">
        <v>90</v>
      </c>
      <c r="D24" s="70">
        <v>70</v>
      </c>
      <c r="E24" s="21">
        <v>1</v>
      </c>
      <c r="F24" s="21">
        <v>1</v>
      </c>
      <c r="G24" s="21">
        <v>1</v>
      </c>
      <c r="H24" s="21">
        <v>1</v>
      </c>
      <c r="I24" s="21">
        <v>1</v>
      </c>
      <c r="J24" s="21">
        <v>0</v>
      </c>
      <c r="K24" s="21">
        <v>1</v>
      </c>
      <c r="L24" s="21">
        <v>1</v>
      </c>
      <c r="M24" s="21">
        <v>1</v>
      </c>
      <c r="N24" s="21">
        <v>1</v>
      </c>
      <c r="O24" s="21">
        <v>2</v>
      </c>
      <c r="P24" s="21">
        <v>2</v>
      </c>
      <c r="Q24" s="21">
        <v>2</v>
      </c>
      <c r="R24" s="21">
        <v>2</v>
      </c>
      <c r="S24" s="21">
        <v>2</v>
      </c>
      <c r="T24" s="2"/>
      <c r="U24" s="50">
        <f t="shared" si="0"/>
        <v>19</v>
      </c>
      <c r="V24" s="108">
        <f>U24/T11*100</f>
        <v>95</v>
      </c>
      <c r="W24" s="100" t="str">
        <f>IFERROR(IF(V24&lt;D24,"Perlu mengulang beberapa Tujuan Pembelajaran dalam Mata Pelajarann  ",IF(V24&gt;=D24,"Dinyatakan tuntas untuk seluruh Tujuan Pembelajaran dalam Mata Pelajaran ","")),"") &amp;L5</f>
        <v>Dinyatakan tuntas untuk seluruh Tujuan Pembelajaran dalam Mata Pelajaran PAI dan Budi Pekerti</v>
      </c>
    </row>
    <row r="25" spans="1:23" ht="15" customHeight="1" x14ac:dyDescent="0.35">
      <c r="A25" s="45">
        <v>14</v>
      </c>
      <c r="B25" s="41" t="s">
        <v>133</v>
      </c>
      <c r="C25" s="30" t="s">
        <v>91</v>
      </c>
      <c r="D25" s="70">
        <v>70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0</v>
      </c>
      <c r="L25" s="2">
        <v>1</v>
      </c>
      <c r="M25" s="2">
        <v>0</v>
      </c>
      <c r="N25" s="2">
        <v>1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/>
      <c r="U25" s="50">
        <f t="shared" si="0"/>
        <v>18</v>
      </c>
      <c r="V25" s="108">
        <f>U25/T11*100</f>
        <v>90</v>
      </c>
      <c r="W25" s="100" t="str">
        <f>IFERROR(IF(V25&lt;D25,"Perlu mengulang beberapa Tujuan Pembelajaran dalam Mata Pelajarann  ",IF(V25&gt;=D25,"Dinyatakan tuntas untuk seluruh Tujuan Pembelajaran dalam Mata Pelajaran ","")),"") &amp;L5</f>
        <v>Dinyatakan tuntas untuk seluruh Tujuan Pembelajaran dalam Mata Pelajaran PAI dan Budi Pekerti</v>
      </c>
    </row>
    <row r="26" spans="1:23" ht="15" customHeight="1" x14ac:dyDescent="0.35">
      <c r="A26" s="45">
        <v>15</v>
      </c>
      <c r="B26" s="41" t="s">
        <v>134</v>
      </c>
      <c r="C26" s="30" t="s">
        <v>92</v>
      </c>
      <c r="D26" s="70">
        <v>70</v>
      </c>
      <c r="E26" s="2">
        <v>1</v>
      </c>
      <c r="F26" s="2">
        <v>0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1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  <c r="T26" s="2"/>
      <c r="U26" s="50">
        <f t="shared" si="0"/>
        <v>18</v>
      </c>
      <c r="V26" s="108">
        <f>U26/T11*100</f>
        <v>90</v>
      </c>
      <c r="W26" s="100" t="str">
        <f>IFERROR(IF(V26&lt;D26,"Perlu mengulang beberapa Tujuan Pembelajaran dalam Mata Pelajarann  ",IF(V26&gt;=D26,"Dinyatakan tuntas untuk seluruh Tujuan Pembelajaran dalam Mata Pelajaran ","")),"") &amp;L5</f>
        <v>Dinyatakan tuntas untuk seluruh Tujuan Pembelajaran dalam Mata Pelajaran PAI dan Budi Pekerti</v>
      </c>
    </row>
    <row r="27" spans="1:23" ht="15" customHeight="1" x14ac:dyDescent="0.35">
      <c r="A27" s="47">
        <v>16</v>
      </c>
      <c r="B27" s="41" t="s">
        <v>135</v>
      </c>
      <c r="C27" s="30" t="s">
        <v>93</v>
      </c>
      <c r="D27" s="70">
        <v>70</v>
      </c>
      <c r="E27" s="48">
        <v>1</v>
      </c>
      <c r="F27" s="48">
        <v>1</v>
      </c>
      <c r="G27" s="48">
        <v>1</v>
      </c>
      <c r="H27" s="48">
        <v>1</v>
      </c>
      <c r="I27" s="48">
        <v>1</v>
      </c>
      <c r="J27" s="48">
        <v>0</v>
      </c>
      <c r="K27" s="48">
        <v>1</v>
      </c>
      <c r="L27" s="48">
        <v>1</v>
      </c>
      <c r="M27" s="48">
        <v>0</v>
      </c>
      <c r="N27" s="48">
        <v>1</v>
      </c>
      <c r="O27" s="48">
        <v>2</v>
      </c>
      <c r="P27" s="48">
        <v>2</v>
      </c>
      <c r="Q27" s="48">
        <v>2</v>
      </c>
      <c r="R27" s="48">
        <v>1</v>
      </c>
      <c r="S27" s="48">
        <v>2</v>
      </c>
      <c r="T27" s="2"/>
      <c r="U27" s="50">
        <f t="shared" si="0"/>
        <v>17</v>
      </c>
      <c r="V27" s="108">
        <f>U27/T11*100</f>
        <v>85</v>
      </c>
      <c r="W27" s="100" t="str">
        <f>IFERROR(IF(V27&lt;D27,"Perlu mengulang beberapa Tujuan Pembelajaran dalam Mata Pelajarann  ",IF(V27&gt;=D27,"Dinyatakan tuntas untuk seluruh Tujuan Pembelajaran dalam Mata Pelajaran ","")),"") &amp;L5</f>
        <v>Dinyatakan tuntas untuk seluruh Tujuan Pembelajaran dalam Mata Pelajaran PAI dan Budi Pekerti</v>
      </c>
    </row>
    <row r="28" spans="1:23" ht="15" customHeight="1" x14ac:dyDescent="0.35">
      <c r="A28" s="45">
        <v>17</v>
      </c>
      <c r="B28" s="41" t="s">
        <v>136</v>
      </c>
      <c r="C28" s="30" t="s">
        <v>94</v>
      </c>
      <c r="D28" s="70">
        <v>70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0</v>
      </c>
      <c r="K28" s="2">
        <v>1</v>
      </c>
      <c r="L28" s="2">
        <v>1</v>
      </c>
      <c r="M28" s="2">
        <v>0</v>
      </c>
      <c r="N28" s="2">
        <v>1</v>
      </c>
      <c r="O28" s="2">
        <v>2</v>
      </c>
      <c r="P28" s="2">
        <v>2</v>
      </c>
      <c r="Q28" s="2">
        <v>2</v>
      </c>
      <c r="R28" s="2">
        <v>2</v>
      </c>
      <c r="S28" s="2">
        <v>2</v>
      </c>
      <c r="T28" s="2"/>
      <c r="U28" s="50">
        <f t="shared" si="0"/>
        <v>18</v>
      </c>
      <c r="V28" s="108">
        <f>U28/T11*100</f>
        <v>90</v>
      </c>
      <c r="W28" s="100" t="str">
        <f>IFERROR(IF(V28&lt;D28,"Perlu mengulang beberapa Tujuan Pembelajaran dalam Mata Pelajarann  ",IF(V28&gt;=D28,"Dinyatakan tuntas untuk seluruh Tujuan Pembelajaran dalam Mata Pelajaran ","")),"") &amp;L5</f>
        <v>Dinyatakan tuntas untuk seluruh Tujuan Pembelajaran dalam Mata Pelajaran PAI dan Budi Pekerti</v>
      </c>
    </row>
    <row r="29" spans="1:23" ht="15" customHeight="1" x14ac:dyDescent="0.35">
      <c r="A29" s="49">
        <v>18</v>
      </c>
      <c r="B29" s="41" t="s">
        <v>137</v>
      </c>
      <c r="C29" s="30" t="s">
        <v>95</v>
      </c>
      <c r="D29" s="70">
        <v>70</v>
      </c>
      <c r="E29" s="50">
        <v>0</v>
      </c>
      <c r="F29" s="50">
        <v>0</v>
      </c>
      <c r="G29" s="50">
        <v>1</v>
      </c>
      <c r="H29" s="50">
        <v>1</v>
      </c>
      <c r="I29" s="50">
        <v>1</v>
      </c>
      <c r="J29" s="50">
        <v>1</v>
      </c>
      <c r="K29" s="50">
        <v>0</v>
      </c>
      <c r="L29" s="50">
        <v>1</v>
      </c>
      <c r="M29" s="50">
        <v>0</v>
      </c>
      <c r="N29" s="50">
        <v>1</v>
      </c>
      <c r="O29" s="50">
        <v>2</v>
      </c>
      <c r="P29" s="50">
        <v>2</v>
      </c>
      <c r="Q29" s="50">
        <v>2</v>
      </c>
      <c r="R29" s="50">
        <v>2</v>
      </c>
      <c r="S29" s="50">
        <v>2</v>
      </c>
      <c r="T29" s="2"/>
      <c r="U29" s="50">
        <f t="shared" si="0"/>
        <v>16</v>
      </c>
      <c r="V29" s="108">
        <f>U29/T11*100</f>
        <v>80</v>
      </c>
      <c r="W29" s="100" t="str">
        <f>IFERROR(IF(V29&lt;D29,"Perlu mengulang beberapa Tujuan Pembelajaran dalam Mata Pelajarann  ",IF(V29&gt;=D29,"Dinyatakan tuntas untuk seluruh Tujuan Pembelajaran dalam Mata Pelajaran ","")),"") &amp;L5</f>
        <v>Dinyatakan tuntas untuk seluruh Tujuan Pembelajaran dalam Mata Pelajaran PAI dan Budi Pekerti</v>
      </c>
    </row>
    <row r="30" spans="1:23" ht="15" customHeight="1" x14ac:dyDescent="0.35">
      <c r="A30" s="45">
        <v>19</v>
      </c>
      <c r="B30" s="41" t="s">
        <v>138</v>
      </c>
      <c r="C30" s="30" t="s">
        <v>96</v>
      </c>
      <c r="D30" s="70">
        <v>70</v>
      </c>
      <c r="E30" s="48">
        <v>1</v>
      </c>
      <c r="F30" s="48">
        <v>1</v>
      </c>
      <c r="G30" s="48">
        <v>1</v>
      </c>
      <c r="H30" s="48">
        <v>0</v>
      </c>
      <c r="I30" s="48">
        <v>0</v>
      </c>
      <c r="J30" s="48">
        <v>0</v>
      </c>
      <c r="K30" s="48">
        <v>1</v>
      </c>
      <c r="L30" s="48">
        <v>1</v>
      </c>
      <c r="M30" s="48">
        <v>1</v>
      </c>
      <c r="N30" s="48">
        <v>1</v>
      </c>
      <c r="O30" s="48">
        <v>2</v>
      </c>
      <c r="P30" s="48">
        <v>2</v>
      </c>
      <c r="Q30" s="48">
        <v>2</v>
      </c>
      <c r="R30" s="48">
        <v>2</v>
      </c>
      <c r="S30" s="48">
        <v>2</v>
      </c>
      <c r="T30" s="2"/>
      <c r="U30" s="50">
        <f t="shared" si="0"/>
        <v>17</v>
      </c>
      <c r="V30" s="108">
        <f>U30/T11*100</f>
        <v>85</v>
      </c>
      <c r="W30" s="100" t="str">
        <f>IFERROR(IF(V30&lt;D30,"Perlu mengulang beberapa Tujuan Pembelajaran dalam Mata Pelajarann  ",IF(V30&gt;=D30,"Dinyatakan tuntas untuk seluruh Tujuan Pembelajaran dalam Mata Pelajaran ","")),"") &amp;L5</f>
        <v>Dinyatakan tuntas untuk seluruh Tujuan Pembelajaran dalam Mata Pelajaran PAI dan Budi Pekerti</v>
      </c>
    </row>
    <row r="31" spans="1:23" ht="15" customHeight="1" x14ac:dyDescent="0.35">
      <c r="A31" s="45">
        <v>20</v>
      </c>
      <c r="B31" s="41" t="s">
        <v>139</v>
      </c>
      <c r="C31" s="30" t="s">
        <v>97</v>
      </c>
      <c r="D31" s="70">
        <v>70</v>
      </c>
      <c r="E31" s="2">
        <v>1</v>
      </c>
      <c r="F31" s="2">
        <v>1</v>
      </c>
      <c r="G31" s="2">
        <v>1</v>
      </c>
      <c r="H31" s="2">
        <v>1</v>
      </c>
      <c r="I31" s="2">
        <v>0</v>
      </c>
      <c r="J31" s="2">
        <v>1</v>
      </c>
      <c r="K31" s="2">
        <v>0</v>
      </c>
      <c r="L31" s="2">
        <v>1</v>
      </c>
      <c r="M31" s="2">
        <v>0</v>
      </c>
      <c r="N31" s="2">
        <v>1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/>
      <c r="U31" s="50">
        <f t="shared" si="0"/>
        <v>17</v>
      </c>
      <c r="V31" s="108">
        <f>U31/T11*100</f>
        <v>85</v>
      </c>
      <c r="W31" s="100" t="str">
        <f>IFERROR(IF(V31&lt;D31,"Perlu mengulang beberapa Tujuan Pembelajaran dalam Mata Pelajarann  ",IF(V31&gt;=D31,"Dinyatakan tuntas untuk seluruh Tujuan Pembelajaran dalam Mata Pelajaran ","")),"") &amp;L5</f>
        <v>Dinyatakan tuntas untuk seluruh Tujuan Pembelajaran dalam Mata Pelajaran PAI dan Budi Pekerti</v>
      </c>
    </row>
    <row r="32" spans="1:23" ht="15" customHeight="1" x14ac:dyDescent="0.35">
      <c r="A32" s="45">
        <v>21</v>
      </c>
      <c r="B32" s="41" t="s">
        <v>140</v>
      </c>
      <c r="C32" s="30" t="s">
        <v>98</v>
      </c>
      <c r="D32" s="70">
        <v>70</v>
      </c>
      <c r="E32" s="2">
        <v>0</v>
      </c>
      <c r="F32" s="2">
        <v>0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1</v>
      </c>
      <c r="O32" s="2">
        <v>2</v>
      </c>
      <c r="P32" s="2">
        <v>2</v>
      </c>
      <c r="Q32" s="2">
        <v>2</v>
      </c>
      <c r="R32" s="2">
        <v>2</v>
      </c>
      <c r="S32" s="2">
        <v>2</v>
      </c>
      <c r="T32" s="2"/>
      <c r="U32" s="50">
        <f t="shared" si="0"/>
        <v>17</v>
      </c>
      <c r="V32" s="108">
        <f>U32/T11*100</f>
        <v>85</v>
      </c>
      <c r="W32" s="100" t="str">
        <f>IFERROR(IF(V32&lt;D32,"Perlu mengulang beberapa Tujuan Pembelajaran dalam Mata Pelajarann  ",IF(V32&gt;=D32,"Dinyatakan tuntas untuk seluruh Tujuan Pembelajaran dalam Mata Pelajaran ","")),"") &amp;L5</f>
        <v>Dinyatakan tuntas untuk seluruh Tujuan Pembelajaran dalam Mata Pelajaran PAI dan Budi Pekerti</v>
      </c>
    </row>
    <row r="33" spans="1:23" ht="15" customHeight="1" x14ac:dyDescent="0.35">
      <c r="A33" s="46">
        <v>22</v>
      </c>
      <c r="B33" s="41" t="s">
        <v>141</v>
      </c>
      <c r="C33" s="30" t="s">
        <v>99</v>
      </c>
      <c r="D33" s="70">
        <v>70</v>
      </c>
      <c r="E33" s="21">
        <v>0</v>
      </c>
      <c r="F33" s="21">
        <v>1</v>
      </c>
      <c r="G33" s="21">
        <v>1</v>
      </c>
      <c r="H33" s="21">
        <v>1</v>
      </c>
      <c r="I33" s="21">
        <v>1</v>
      </c>
      <c r="J33" s="21">
        <v>0</v>
      </c>
      <c r="K33" s="21">
        <v>0</v>
      </c>
      <c r="L33" s="21">
        <v>1</v>
      </c>
      <c r="M33" s="21">
        <v>0</v>
      </c>
      <c r="N33" s="21">
        <v>1</v>
      </c>
      <c r="O33" s="21">
        <v>2</v>
      </c>
      <c r="P33" s="21">
        <v>2</v>
      </c>
      <c r="Q33" s="21">
        <v>2</v>
      </c>
      <c r="R33" s="21">
        <v>2</v>
      </c>
      <c r="S33" s="21">
        <v>2</v>
      </c>
      <c r="T33" s="2"/>
      <c r="U33" s="50">
        <f t="shared" si="0"/>
        <v>16</v>
      </c>
      <c r="V33" s="108">
        <f>U33/T11*100</f>
        <v>80</v>
      </c>
      <c r="W33" s="100" t="str">
        <f>IFERROR(IF(V33&lt;D33,"Perlu mengulang beberapa Tujuan Pembelajaran dalam Mata Pelajarann  ",IF(V33&gt;=D33,"Dinyatakan tuntas untuk seluruh Tujuan Pembelajaran dalam Mata Pelajaran ","")),"") &amp;L5</f>
        <v>Dinyatakan tuntas untuk seluruh Tujuan Pembelajaran dalam Mata Pelajaran PAI dan Budi Pekerti</v>
      </c>
    </row>
    <row r="34" spans="1:23" ht="15" customHeight="1" x14ac:dyDescent="0.35">
      <c r="A34" s="45">
        <v>23</v>
      </c>
      <c r="B34" s="41" t="s">
        <v>142</v>
      </c>
      <c r="C34" s="30" t="s">
        <v>100</v>
      </c>
      <c r="D34" s="70">
        <v>70</v>
      </c>
      <c r="E34" s="2">
        <v>1</v>
      </c>
      <c r="F34" s="2">
        <v>1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1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/>
      <c r="U34" s="50">
        <f t="shared" si="0"/>
        <v>16</v>
      </c>
      <c r="V34" s="108">
        <f>U34/T11*100</f>
        <v>80</v>
      </c>
      <c r="W34" s="100" t="str">
        <f>IFERROR(IF(V34&lt;D34,"Perlu mengulang beberapa Tujuan Pembelajaran dalam Mata Pelajarann  ",IF(V34&gt;=D34,"Dinyatakan tuntas untuk seluruh Tujuan Pembelajaran dalam Mata Pelajaran ","")),"") &amp;L5</f>
        <v>Dinyatakan tuntas untuk seluruh Tujuan Pembelajaran dalam Mata Pelajaran PAI dan Budi Pekerti</v>
      </c>
    </row>
    <row r="35" spans="1:23" ht="15" customHeight="1" x14ac:dyDescent="0.35">
      <c r="A35" s="51">
        <v>24</v>
      </c>
      <c r="B35" s="41" t="s">
        <v>143</v>
      </c>
      <c r="C35" s="30" t="s">
        <v>101</v>
      </c>
      <c r="D35" s="70">
        <v>70</v>
      </c>
      <c r="E35" s="52">
        <v>1</v>
      </c>
      <c r="F35" s="52">
        <v>0</v>
      </c>
      <c r="G35" s="52">
        <v>1</v>
      </c>
      <c r="H35" s="52">
        <v>1</v>
      </c>
      <c r="I35" s="52">
        <v>1</v>
      </c>
      <c r="J35" s="52">
        <v>1</v>
      </c>
      <c r="K35" s="52">
        <v>1</v>
      </c>
      <c r="L35" s="52">
        <v>1</v>
      </c>
      <c r="M35" s="52">
        <v>0</v>
      </c>
      <c r="N35" s="52">
        <v>1</v>
      </c>
      <c r="O35" s="52">
        <v>2</v>
      </c>
      <c r="P35" s="52">
        <v>2</v>
      </c>
      <c r="Q35" s="52">
        <v>2</v>
      </c>
      <c r="R35" s="52">
        <v>2</v>
      </c>
      <c r="S35" s="52">
        <v>2</v>
      </c>
      <c r="T35" s="2"/>
      <c r="U35" s="50">
        <f t="shared" si="0"/>
        <v>18</v>
      </c>
      <c r="V35" s="108">
        <f>U35/T11*100</f>
        <v>90</v>
      </c>
      <c r="W35" s="100" t="str">
        <f>IFERROR(IF(V35&lt;D35,"Perlu mengulang beberapa Tujuan Pembelajaran dalam Mata Pelajarann  ",IF(V35&gt;=D35,"Dinyatakan tuntas untuk seluruh Tujuan Pembelajaran dalam Mata Pelajaran ","")),"") &amp;L5</f>
        <v>Dinyatakan tuntas untuk seluruh Tujuan Pembelajaran dalam Mata Pelajaran PAI dan Budi Pekerti</v>
      </c>
    </row>
    <row r="36" spans="1:23" ht="15" customHeight="1" x14ac:dyDescent="0.35">
      <c r="A36" s="45">
        <v>25</v>
      </c>
      <c r="B36" s="41" t="s">
        <v>144</v>
      </c>
      <c r="C36" s="30" t="s">
        <v>102</v>
      </c>
      <c r="D36" s="70">
        <v>70</v>
      </c>
      <c r="E36" s="2">
        <v>1</v>
      </c>
      <c r="F36" s="2">
        <v>0</v>
      </c>
      <c r="G36" s="2">
        <v>1</v>
      </c>
      <c r="H36" s="2">
        <v>1</v>
      </c>
      <c r="I36" s="2">
        <v>1</v>
      </c>
      <c r="J36" s="2">
        <v>0</v>
      </c>
      <c r="K36" s="2">
        <v>1</v>
      </c>
      <c r="L36" s="2">
        <v>1</v>
      </c>
      <c r="M36" s="2">
        <v>0</v>
      </c>
      <c r="N36" s="2">
        <v>1</v>
      </c>
      <c r="O36" s="2">
        <v>2</v>
      </c>
      <c r="P36" s="2">
        <v>2</v>
      </c>
      <c r="Q36" s="2">
        <v>2</v>
      </c>
      <c r="R36" s="2">
        <v>2</v>
      </c>
      <c r="S36" s="2">
        <v>2</v>
      </c>
      <c r="T36" s="2"/>
      <c r="U36" s="50">
        <f t="shared" si="0"/>
        <v>17</v>
      </c>
      <c r="V36" s="108">
        <f>U36/T11*100</f>
        <v>85</v>
      </c>
      <c r="W36" s="100" t="str">
        <f>IFERROR(IF(V36&lt;D36,"Perlu mengulang beberapa Tujuan Pembelajaran dalam Mata Pelajarann  ",IF(V36&gt;=D36,"Dinyatakan tuntas untuk seluruh Tujuan Pembelajaran dalam Mata Pelajaran ","")),"") &amp;L5</f>
        <v>Dinyatakan tuntas untuk seluruh Tujuan Pembelajaran dalam Mata Pelajaran PAI dan Budi Pekerti</v>
      </c>
    </row>
    <row r="37" spans="1:23" ht="15" customHeight="1" x14ac:dyDescent="0.35">
      <c r="A37" s="46">
        <v>26</v>
      </c>
      <c r="B37" s="41" t="s">
        <v>145</v>
      </c>
      <c r="C37" s="30" t="s">
        <v>103</v>
      </c>
      <c r="D37" s="70">
        <v>70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0</v>
      </c>
      <c r="L37" s="2">
        <v>1</v>
      </c>
      <c r="M37" s="2">
        <v>0</v>
      </c>
      <c r="N37" s="2">
        <v>1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/>
      <c r="U37" s="50">
        <f t="shared" si="0"/>
        <v>18</v>
      </c>
      <c r="V37" s="108">
        <f>U37/T11*100</f>
        <v>90</v>
      </c>
      <c r="W37" s="100" t="str">
        <f>IFERROR(IF(V37&lt;D37,"Perlu mengulang beberapa Tujuan Pembelajaran dalam Mata Pelajarann  ",IF(V37&gt;=D37,"Dinyatakan tuntas untuk seluruh Tujuan Pembelajaran dalam Mata Pelajaran ","")),"") &amp;L5</f>
        <v>Dinyatakan tuntas untuk seluruh Tujuan Pembelajaran dalam Mata Pelajaran PAI dan Budi Pekerti</v>
      </c>
    </row>
    <row r="38" spans="1:23" ht="15" customHeight="1" x14ac:dyDescent="0.35">
      <c r="A38" s="45">
        <v>27</v>
      </c>
      <c r="B38" s="41" t="s">
        <v>146</v>
      </c>
      <c r="C38" s="30" t="s">
        <v>104</v>
      </c>
      <c r="D38" s="70">
        <v>70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1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/>
      <c r="U38" s="50">
        <f t="shared" si="0"/>
        <v>19</v>
      </c>
      <c r="V38" s="108">
        <f>U38/T11*100</f>
        <v>95</v>
      </c>
      <c r="W38" s="100" t="str">
        <f>IFERROR(IF(V38&lt;D38,"Perlu mengulang beberapa Tujuan Pembelajaran dalam Mata Pelajarann  ",IF(V38&gt;=D38,"Dinyatakan tuntas untuk seluruh Tujuan Pembelajaran dalam Mata Pelajaran ","")),"") &amp;L5</f>
        <v>Dinyatakan tuntas untuk seluruh Tujuan Pembelajaran dalam Mata Pelajaran PAI dan Budi Pekerti</v>
      </c>
    </row>
    <row r="39" spans="1:23" ht="15" customHeight="1" x14ac:dyDescent="0.35">
      <c r="A39" s="46">
        <v>28</v>
      </c>
      <c r="B39" s="41" t="s">
        <v>147</v>
      </c>
      <c r="C39" s="30" t="s">
        <v>117</v>
      </c>
      <c r="D39" s="70">
        <v>70</v>
      </c>
      <c r="E39" s="2">
        <v>1</v>
      </c>
      <c r="F39" s="2">
        <v>1</v>
      </c>
      <c r="G39" s="2">
        <v>0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>
        <v>2</v>
      </c>
      <c r="P39" s="2">
        <v>1</v>
      </c>
      <c r="Q39" s="2">
        <v>1</v>
      </c>
      <c r="R39" s="2">
        <v>1</v>
      </c>
      <c r="S39" s="2">
        <v>1</v>
      </c>
      <c r="T39" s="2"/>
      <c r="U39" s="50">
        <f t="shared" si="0"/>
        <v>12</v>
      </c>
      <c r="V39" s="108">
        <f>U39/T11*100</f>
        <v>60</v>
      </c>
      <c r="W39" s="100" t="str">
        <f>IFERROR(IF(V39&lt;D39,"Perlu mengulang beberapa Tujuan Pembelajaran dalam Mata Pelajarann  ",IF(V39&gt;=D39,"Dinyatakan tuntas untuk seluruh Tujuan Pembelajaran dalam Mata Pelajaran ","")),"") &amp;L5</f>
        <v>Perlu mengulang beberapa Tujuan Pembelajaran dalam Mata Pelajarann  PAI dan Budi Pekerti</v>
      </c>
    </row>
    <row r="40" spans="1:23" ht="15" customHeight="1" x14ac:dyDescent="0.35">
      <c r="A40" s="45">
        <v>29</v>
      </c>
      <c r="B40" s="41" t="s">
        <v>148</v>
      </c>
      <c r="C40" s="30" t="s">
        <v>105</v>
      </c>
      <c r="D40" s="70">
        <v>70</v>
      </c>
      <c r="E40" s="2">
        <v>1</v>
      </c>
      <c r="F40" s="2">
        <v>1</v>
      </c>
      <c r="G40" s="2">
        <v>1</v>
      </c>
      <c r="H40" s="2">
        <v>0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1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/>
      <c r="U40" s="50">
        <f t="shared" si="0"/>
        <v>16</v>
      </c>
      <c r="V40" s="108">
        <f>U40/T11*100</f>
        <v>80</v>
      </c>
      <c r="W40" s="100" t="str">
        <f>IFERROR(IF(V40&lt;D40,"Perlu mengulang beberapa Tujuan Pembelajaran dalam Mata Pelajarann  ",IF(V40&gt;=D40,"Dinyatakan tuntas untuk seluruh Tujuan Pembelajaran dalam Mata Pelajaran ","")),"") &amp;L5</f>
        <v>Dinyatakan tuntas untuk seluruh Tujuan Pembelajaran dalam Mata Pelajaran PAI dan Budi Pekerti</v>
      </c>
    </row>
    <row r="41" spans="1:23" ht="15" customHeight="1" x14ac:dyDescent="0.35">
      <c r="A41" s="46">
        <v>30</v>
      </c>
      <c r="B41" s="41" t="s">
        <v>149</v>
      </c>
      <c r="C41" s="30" t="s">
        <v>118</v>
      </c>
      <c r="D41" s="70">
        <v>70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  <c r="O41" s="2">
        <v>2</v>
      </c>
      <c r="P41" s="2">
        <v>2</v>
      </c>
      <c r="Q41" s="2">
        <v>2</v>
      </c>
      <c r="R41" s="2">
        <v>2</v>
      </c>
      <c r="S41" s="2">
        <v>2</v>
      </c>
      <c r="T41" s="2"/>
      <c r="U41" s="50">
        <f t="shared" si="0"/>
        <v>11</v>
      </c>
      <c r="V41" s="108">
        <f>U41/T11*100</f>
        <v>55.000000000000007</v>
      </c>
      <c r="W41" s="100" t="str">
        <f>IFERROR(IF(V41&lt;D41,"Perlu mengulang beberapa Tujuan Pembelajaran dalam Mata Pelajarann  ",IF(V41&gt;=D41,"Dinyatakan tuntas untuk seluruh Tujuan Pembelajaran dalam Mata Pelajaran ","")),"") &amp;L5</f>
        <v>Perlu mengulang beberapa Tujuan Pembelajaran dalam Mata Pelajarann  PAI dan Budi Pekerti</v>
      </c>
    </row>
    <row r="42" spans="1:23" ht="15" customHeight="1" x14ac:dyDescent="0.35">
      <c r="A42" s="45">
        <v>31</v>
      </c>
      <c r="B42" s="41" t="s">
        <v>150</v>
      </c>
      <c r="C42" s="30" t="s">
        <v>106</v>
      </c>
      <c r="D42" s="70">
        <v>70</v>
      </c>
      <c r="E42" s="2">
        <v>0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1</v>
      </c>
      <c r="O42" s="2">
        <v>2</v>
      </c>
      <c r="P42" s="2">
        <v>2</v>
      </c>
      <c r="Q42" s="2">
        <v>2</v>
      </c>
      <c r="R42" s="2">
        <v>2</v>
      </c>
      <c r="S42" s="2">
        <v>2</v>
      </c>
      <c r="T42" s="2"/>
      <c r="U42" s="50">
        <f t="shared" si="0"/>
        <v>14</v>
      </c>
      <c r="V42" s="108">
        <f>U42/T11*100</f>
        <v>70</v>
      </c>
      <c r="W42" s="100" t="str">
        <f>IFERROR(IF(V42&lt;D42,"Perlu mengulang beberapa Tujuan Pembelajaran dalam Mata Pelajarann  ",IF(V42&gt;=D42,"Dinyatakan tuntas untuk seluruh Tujuan Pembelajaran dalam Mata Pelajaran ","")),"") &amp;L5</f>
        <v>Dinyatakan tuntas untuk seluruh Tujuan Pembelajaran dalam Mata Pelajaran PAI dan Budi Pekerti</v>
      </c>
    </row>
    <row r="43" spans="1:23" ht="15" customHeight="1" x14ac:dyDescent="0.35">
      <c r="A43" s="46">
        <v>32</v>
      </c>
      <c r="B43" s="41" t="s">
        <v>151</v>
      </c>
      <c r="C43" s="30" t="s">
        <v>107</v>
      </c>
      <c r="D43" s="70">
        <v>70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2</v>
      </c>
      <c r="P43" s="2">
        <v>2</v>
      </c>
      <c r="Q43" s="2">
        <v>2</v>
      </c>
      <c r="R43" s="2">
        <v>2</v>
      </c>
      <c r="S43" s="2">
        <v>2</v>
      </c>
      <c r="T43" s="2"/>
      <c r="U43" s="50">
        <f t="shared" si="0"/>
        <v>18</v>
      </c>
      <c r="V43" s="108">
        <f>U43/T11*100</f>
        <v>90</v>
      </c>
      <c r="W43" s="100" t="str">
        <f>IFERROR(IF(V43&lt;D43,"Perlu mengulang beberapa Tujuan Pembelajaran dalam Mata Pelajarann  ",IF(V43&gt;=D43,"Dinyatakan tuntas untuk seluruh Tujuan Pembelajaran dalam Mata Pelajaran ","")),"") &amp;L5</f>
        <v>Dinyatakan tuntas untuk seluruh Tujuan Pembelajaran dalam Mata Pelajaran PAI dan Budi Pekerti</v>
      </c>
    </row>
    <row r="44" spans="1:23" ht="15" customHeight="1" x14ac:dyDescent="0.35">
      <c r="A44" s="45">
        <v>33</v>
      </c>
      <c r="B44" s="41" t="s">
        <v>152</v>
      </c>
      <c r="C44" s="30" t="s">
        <v>108</v>
      </c>
      <c r="D44" s="70">
        <v>70</v>
      </c>
      <c r="E44" s="2">
        <v>1</v>
      </c>
      <c r="F44" s="2">
        <v>1</v>
      </c>
      <c r="G44" s="2">
        <v>0</v>
      </c>
      <c r="H44" s="2">
        <v>1</v>
      </c>
      <c r="I44" s="2">
        <v>0</v>
      </c>
      <c r="J44" s="2">
        <v>1</v>
      </c>
      <c r="K44" s="2">
        <v>0</v>
      </c>
      <c r="L44" s="2">
        <v>1</v>
      </c>
      <c r="M44" s="2">
        <v>0</v>
      </c>
      <c r="N44" s="2">
        <v>1</v>
      </c>
      <c r="O44" s="2">
        <v>2</v>
      </c>
      <c r="P44" s="2">
        <v>1</v>
      </c>
      <c r="Q44" s="2">
        <v>1</v>
      </c>
      <c r="R44" s="2">
        <v>1</v>
      </c>
      <c r="S44" s="2">
        <v>1</v>
      </c>
      <c r="T44" s="2"/>
      <c r="U44" s="50">
        <f t="shared" si="0"/>
        <v>12</v>
      </c>
      <c r="V44" s="108">
        <f>U44/T11*100</f>
        <v>60</v>
      </c>
      <c r="W44" s="100" t="str">
        <f>IFERROR(IF(V44&lt;D44,"Perlu mengulang beberapa Tujuan Pembelajaran dalam Mata Pelajarann  ",IF(V44&gt;=D44,"Dinyatakan tuntas untuk seluruh Tujuan Pembelajaran dalam Mata Pelajaran ","")),"") &amp;L5</f>
        <v>Perlu mengulang beberapa Tujuan Pembelajaran dalam Mata Pelajarann  PAI dan Budi Pekerti</v>
      </c>
    </row>
    <row r="45" spans="1:23" ht="15" customHeight="1" x14ac:dyDescent="0.35">
      <c r="A45" s="46">
        <v>34</v>
      </c>
      <c r="B45" s="41" t="s">
        <v>153</v>
      </c>
      <c r="C45" s="30" t="s">
        <v>119</v>
      </c>
      <c r="D45" s="70">
        <v>70</v>
      </c>
      <c r="E45" s="2">
        <v>1</v>
      </c>
      <c r="F45" s="2">
        <v>1</v>
      </c>
      <c r="G45" s="2">
        <v>1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1</v>
      </c>
      <c r="O45" s="2">
        <v>2</v>
      </c>
      <c r="P45" s="2">
        <v>2</v>
      </c>
      <c r="Q45" s="2">
        <v>2</v>
      </c>
      <c r="R45" s="2">
        <v>2</v>
      </c>
      <c r="S45" s="2">
        <v>1</v>
      </c>
      <c r="T45" s="2"/>
      <c r="U45" s="50">
        <f t="shared" si="0"/>
        <v>16</v>
      </c>
      <c r="V45" s="108">
        <f>U45/T11*100</f>
        <v>80</v>
      </c>
      <c r="W45" s="100" t="str">
        <f>IFERROR(IF(V45&lt;D45,"Perlu mengulang beberapa Tujuan Pembelajaran dalam Mata Pelajarann  ",IF(V45&gt;=D45,"Dinyatakan tuntas untuk seluruh Tujuan Pembelajaran dalam Mata Pelajaran ","")),"") &amp;L5</f>
        <v>Dinyatakan tuntas untuk seluruh Tujuan Pembelajaran dalam Mata Pelajaran PAI dan Budi Pekerti</v>
      </c>
    </row>
    <row r="46" spans="1:23" ht="15" customHeight="1" x14ac:dyDescent="0.35">
      <c r="A46" s="45">
        <v>35</v>
      </c>
      <c r="B46" s="46" t="s">
        <v>154</v>
      </c>
      <c r="C46" s="34" t="s">
        <v>109</v>
      </c>
      <c r="D46" s="70">
        <v>70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2</v>
      </c>
      <c r="P46" s="2">
        <v>2</v>
      </c>
      <c r="Q46" s="2">
        <v>2</v>
      </c>
      <c r="R46" s="2">
        <v>2</v>
      </c>
      <c r="S46" s="2">
        <v>2</v>
      </c>
      <c r="T46" s="2"/>
      <c r="U46" s="2">
        <f t="shared" si="0"/>
        <v>19</v>
      </c>
      <c r="V46" s="109">
        <f>U46/T11*100</f>
        <v>95</v>
      </c>
      <c r="W46" s="100" t="str">
        <f>IFERROR(IF(V46&lt;D46,"Perlu mengulang beberapa Tujuan Pembelajaran dalam Mata Pelajarann  ",IF(V46&gt;=D46,"Dinyatakan tuntas untuk seluruh Tujuan Pembelajaran dalam Mata Pelajaran ","")),"") &amp;L5</f>
        <v>Dinyatakan tuntas untuk seluruh Tujuan Pembelajaran dalam Mata Pelajaran PAI dan Budi Pekerti</v>
      </c>
    </row>
    <row r="47" spans="1:23" ht="15" customHeight="1" x14ac:dyDescent="0.35">
      <c r="A47" s="55"/>
      <c r="B47" s="55"/>
      <c r="C47" s="36"/>
      <c r="D47" s="36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56"/>
      <c r="V47" s="57"/>
      <c r="W47" s="58"/>
    </row>
    <row r="48" spans="1:23" ht="15" customHeight="1" x14ac:dyDescent="0.35">
      <c r="A48" s="55"/>
      <c r="B48" s="55"/>
      <c r="C48" s="36"/>
      <c r="D48" s="36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56"/>
      <c r="V48" s="57"/>
      <c r="W48" s="58"/>
    </row>
    <row r="49" spans="1:28" s="61" customFormat="1" ht="15" customHeight="1" x14ac:dyDescent="0.3">
      <c r="A49" s="59"/>
      <c r="B49" s="59"/>
      <c r="C49" s="59"/>
      <c r="D49" s="59"/>
      <c r="E49" s="59"/>
      <c r="F49" s="59" t="str">
        <f>'oke Lingk. 1'!H43</f>
        <v>Mengetahui</v>
      </c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37" t="s">
        <v>174</v>
      </c>
      <c r="X49" s="37"/>
      <c r="Y49" s="37"/>
      <c r="Z49" s="37"/>
      <c r="AA49" s="37"/>
      <c r="AB49" s="37"/>
    </row>
    <row r="50" spans="1:28" s="61" customFormat="1" ht="15" customHeight="1" x14ac:dyDescent="0.3">
      <c r="A50" s="59"/>
      <c r="B50" s="59"/>
      <c r="C50" s="59"/>
      <c r="D50" s="59"/>
      <c r="E50" s="59"/>
      <c r="F50" s="59" t="str">
        <f>'oke Lingk. 1'!H44</f>
        <v>Kepala UPTD SDN 1 Sukamukti</v>
      </c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37" t="s">
        <v>156</v>
      </c>
      <c r="X50" s="37"/>
      <c r="Y50" s="37"/>
      <c r="Z50" s="37"/>
      <c r="AA50" s="37"/>
      <c r="AB50" s="37"/>
    </row>
    <row r="51" spans="1:28" s="61" customFormat="1" ht="15" customHeight="1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37"/>
      <c r="X51" s="37"/>
      <c r="Y51" s="37"/>
      <c r="Z51" s="37"/>
      <c r="AA51" s="37"/>
      <c r="AB51" s="37"/>
    </row>
    <row r="52" spans="1:28" s="61" customFormat="1" ht="15" customHeight="1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37"/>
      <c r="X52" s="37"/>
      <c r="Y52" s="37"/>
      <c r="Z52" s="37"/>
      <c r="AA52" s="37"/>
      <c r="AB52" s="37"/>
    </row>
    <row r="53" spans="1:28" s="61" customFormat="1" ht="15" customHeight="1" x14ac:dyDescent="0.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37"/>
      <c r="X53" s="37"/>
      <c r="Y53" s="37"/>
      <c r="Z53" s="37"/>
      <c r="AA53" s="37"/>
      <c r="AB53" s="37"/>
    </row>
    <row r="54" spans="1:28" s="61" customFormat="1" ht="15" customHeight="1" x14ac:dyDescent="0.3">
      <c r="A54" s="59"/>
      <c r="B54" s="59"/>
      <c r="C54" s="71"/>
      <c r="D54" s="71"/>
      <c r="E54" s="59"/>
      <c r="F54" s="71" t="str">
        <f>'oke Lingk. 1'!H48</f>
        <v>DUDUNG, S.Pd.SD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103" t="s">
        <v>157</v>
      </c>
      <c r="X54" s="37"/>
      <c r="Y54" s="37"/>
      <c r="Z54" s="37"/>
      <c r="AA54" s="37"/>
      <c r="AB54" s="37"/>
    </row>
    <row r="55" spans="1:28" s="61" customFormat="1" ht="15" customHeight="1" x14ac:dyDescent="0.3">
      <c r="A55" s="59"/>
      <c r="B55" s="59"/>
      <c r="C55" s="60"/>
      <c r="D55" s="60"/>
      <c r="E55" s="59"/>
      <c r="F55" s="60" t="str">
        <f>'oke Lingk. 1'!H49</f>
        <v>NIP. 197111101993071001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104" t="s">
        <v>158</v>
      </c>
      <c r="X55" s="37"/>
      <c r="Y55" s="37"/>
      <c r="Z55" s="37"/>
      <c r="AA55" s="37"/>
      <c r="AB55" s="37"/>
    </row>
    <row r="56" spans="1:28" ht="15" customHeight="1" x14ac:dyDescent="0.3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</sheetData>
  <mergeCells count="13">
    <mergeCell ref="A8:A10"/>
    <mergeCell ref="B8:B10"/>
    <mergeCell ref="C8:C10"/>
    <mergeCell ref="D8:S8"/>
    <mergeCell ref="D9:D11"/>
    <mergeCell ref="V9:V10"/>
    <mergeCell ref="W9:W10"/>
    <mergeCell ref="E10:S10"/>
    <mergeCell ref="D1:S1"/>
    <mergeCell ref="T1:W1"/>
    <mergeCell ref="D2:S2"/>
    <mergeCell ref="T2:W2"/>
    <mergeCell ref="U9:U10"/>
  </mergeCells>
  <pageMargins left="0.62992125984251968" right="0.19685039370078741" top="0.35433070866141736" bottom="1.3385826771653544" header="0.31496062992125984" footer="0.31496062992125984"/>
  <pageSetup paperSize="1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00"/>
  <sheetViews>
    <sheetView topLeftCell="B1" zoomScaleNormal="100" workbookViewId="0">
      <selection activeCell="G2" sqref="G2:AI2"/>
    </sheetView>
  </sheetViews>
  <sheetFormatPr defaultRowHeight="14.5" x14ac:dyDescent="0.35"/>
  <cols>
    <col min="1" max="1" width="3.81640625" style="37" customWidth="1"/>
    <col min="2" max="2" width="16" style="37" customWidth="1"/>
    <col min="3" max="3" width="29.6328125" style="37" customWidth="1"/>
    <col min="4" max="4" width="1.90625" style="37" customWidth="1"/>
    <col min="5" max="5" width="0.81640625" style="37" customWidth="1"/>
    <col min="6" max="6" width="3" style="37" hidden="1" customWidth="1"/>
    <col min="7" max="11" width="2.6328125" style="37" customWidth="1"/>
    <col min="12" max="16" width="2.6328125" style="37" hidden="1" customWidth="1"/>
    <col min="17" max="17" width="3.08984375" style="37" customWidth="1"/>
    <col min="18" max="18" width="3.6328125" style="37" customWidth="1"/>
    <col min="19" max="19" width="4.1796875" style="37" customWidth="1"/>
    <col min="20" max="20" width="7.1796875" style="37" customWidth="1"/>
    <col min="21" max="21" width="3.90625" style="37" hidden="1" customWidth="1"/>
    <col min="22" max="26" width="2.6328125" style="37" customWidth="1"/>
    <col min="27" max="31" width="2.6328125" style="37" hidden="1" customWidth="1"/>
    <col min="32" max="32" width="3.1796875" style="37" customWidth="1"/>
    <col min="33" max="33" width="3.6328125" style="37" customWidth="1"/>
    <col min="34" max="34" width="4.90625" style="37" customWidth="1"/>
    <col min="35" max="35" width="7.1796875" style="37" customWidth="1"/>
    <col min="36" max="37" width="1.1796875" style="37" customWidth="1"/>
    <col min="38" max="38" width="3" style="37" hidden="1" customWidth="1"/>
    <col min="39" max="43" width="2.54296875" style="37" customWidth="1"/>
    <col min="44" max="48" width="2.54296875" style="37" hidden="1" customWidth="1"/>
    <col min="49" max="49" width="2.08984375" style="37" bestFit="1" customWidth="1"/>
    <col min="50" max="50" width="3.08984375" style="37" customWidth="1"/>
    <col min="51" max="51" width="4.36328125" style="37" customWidth="1"/>
    <col min="52" max="52" width="9.453125" style="37" customWidth="1"/>
    <col min="53" max="53" width="3" style="37" customWidth="1"/>
    <col min="54" max="63" width="2.90625" style="37" customWidth="1"/>
    <col min="64" max="64" width="2.453125" style="37" hidden="1" customWidth="1"/>
    <col min="65" max="65" width="3.6328125" style="37" customWidth="1"/>
    <col min="66" max="66" width="4.1796875" style="37" customWidth="1"/>
    <col min="67" max="67" width="7.1796875" style="37" customWidth="1"/>
    <col min="68" max="68" width="1.1796875" style="37" customWidth="1"/>
    <col min="69" max="69" width="4.81640625" style="37" customWidth="1"/>
    <col min="70" max="70" width="3" style="37" customWidth="1"/>
    <col min="71" max="80" width="2.6328125" style="37" customWidth="1"/>
    <col min="81" max="81" width="2.453125" style="37" hidden="1" customWidth="1"/>
    <col min="82" max="82" width="3.6328125" style="37" customWidth="1"/>
    <col min="83" max="83" width="4.1796875" style="37" customWidth="1"/>
    <col min="84" max="84" width="7.1796875" style="37" customWidth="1"/>
    <col min="85" max="85" width="3" style="37" customWidth="1"/>
    <col min="86" max="95" width="2.6328125" style="37" customWidth="1"/>
    <col min="96" max="96" width="2.453125" style="37" hidden="1" customWidth="1"/>
    <col min="97" max="97" width="3.6328125" style="37" customWidth="1"/>
    <col min="98" max="98" width="4.1796875" style="37" customWidth="1"/>
    <col min="99" max="99" width="7.1796875" style="37" customWidth="1"/>
    <col min="100" max="100" width="1.453125" style="37" customWidth="1"/>
    <col min="101" max="101" width="3.90625" style="37" customWidth="1"/>
    <col min="102" max="103" width="2.6328125" style="37" customWidth="1"/>
    <col min="104" max="105" width="2.6328125" style="38" customWidth="1"/>
    <col min="106" max="106" width="2.6328125" customWidth="1"/>
  </cols>
  <sheetData>
    <row r="1" spans="1:103" s="61" customFormat="1" ht="15" customHeight="1" x14ac:dyDescent="0.3">
      <c r="A1" s="60"/>
      <c r="B1" s="60"/>
      <c r="C1" s="60"/>
      <c r="D1" s="60"/>
      <c r="E1" s="60"/>
      <c r="F1" s="60"/>
      <c r="G1" s="156" t="s">
        <v>288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60"/>
      <c r="AK1" s="60"/>
      <c r="AL1" s="60"/>
      <c r="AM1" s="157" t="str">
        <f>G1</f>
        <v>ANALISIS HASIL ASESMEN  SUMATIF TUJUAN PEMBELAJARAN</v>
      </c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59"/>
      <c r="BQ1" s="59"/>
      <c r="BR1" s="60"/>
      <c r="BS1" s="156" t="str">
        <f>AM1</f>
        <v>ANALISIS HASIL ASESMEN  SUMATIF TUJUAN PEMBELAJARAN</v>
      </c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59"/>
      <c r="CW1" s="59"/>
      <c r="CX1" s="59"/>
      <c r="CY1" s="59"/>
    </row>
    <row r="2" spans="1:103" s="61" customFormat="1" ht="15" customHeight="1" x14ac:dyDescent="0.3">
      <c r="A2" s="62"/>
      <c r="B2" s="62"/>
      <c r="C2" s="62"/>
      <c r="D2" s="62"/>
      <c r="E2" s="62"/>
      <c r="F2" s="62"/>
      <c r="G2" s="158" t="s">
        <v>234</v>
      </c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62"/>
      <c r="AK2" s="62"/>
      <c r="AL2" s="62"/>
      <c r="AM2" s="159" t="str">
        <f>G2</f>
        <v>TAHUN AJARAN 2025/2026</v>
      </c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62"/>
      <c r="BQ2" s="62"/>
      <c r="BR2" s="62"/>
      <c r="BS2" s="158" t="str">
        <f>AM2</f>
        <v>TAHUN AJARAN 2025/2026</v>
      </c>
      <c r="BT2" s="158"/>
      <c r="BU2" s="158"/>
      <c r="BV2" s="158"/>
      <c r="BW2" s="158"/>
      <c r="BX2" s="158"/>
      <c r="BY2" s="158"/>
      <c r="BZ2" s="158"/>
      <c r="CA2" s="158"/>
      <c r="CB2" s="158"/>
      <c r="CC2" s="158"/>
      <c r="CD2" s="158"/>
      <c r="CE2" s="158"/>
      <c r="CF2" s="158"/>
      <c r="CG2" s="158"/>
      <c r="CH2" s="158"/>
      <c r="CI2" s="158"/>
      <c r="CJ2" s="158"/>
      <c r="CK2" s="158"/>
      <c r="CL2" s="158"/>
      <c r="CM2" s="158"/>
      <c r="CN2" s="158"/>
      <c r="CO2" s="158"/>
      <c r="CP2" s="158"/>
      <c r="CQ2" s="158"/>
      <c r="CR2" s="158"/>
      <c r="CS2" s="158"/>
      <c r="CT2" s="158"/>
      <c r="CU2" s="158"/>
      <c r="CV2" s="59"/>
      <c r="CW2" s="59"/>
      <c r="CX2" s="59"/>
      <c r="CY2" s="59"/>
    </row>
    <row r="3" spans="1:103" s="61" customFormat="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59"/>
      <c r="CW3" s="59"/>
      <c r="CX3" s="59"/>
      <c r="CY3" s="59"/>
    </row>
    <row r="4" spans="1:103" s="61" customFormat="1" ht="15" customHeight="1" x14ac:dyDescent="0.3">
      <c r="A4" s="1"/>
      <c r="B4" s="1"/>
      <c r="C4" s="1"/>
      <c r="D4" s="1"/>
      <c r="E4" s="1"/>
      <c r="F4" s="1"/>
      <c r="G4" s="1" t="s">
        <v>0</v>
      </c>
      <c r="H4" s="1"/>
      <c r="I4" s="1"/>
      <c r="J4" s="1"/>
      <c r="K4" s="1"/>
      <c r="L4" s="1"/>
      <c r="M4" s="1" t="s">
        <v>5</v>
      </c>
      <c r="N4" s="1" t="s">
        <v>74</v>
      </c>
      <c r="O4" s="1"/>
      <c r="P4" s="1"/>
      <c r="Q4" s="1" t="s">
        <v>5</v>
      </c>
      <c r="R4" s="1" t="s">
        <v>162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93" t="s">
        <v>0</v>
      </c>
      <c r="AN4" s="93"/>
      <c r="AO4" s="93"/>
      <c r="AP4" s="93"/>
      <c r="AQ4" s="93"/>
      <c r="AR4" s="93"/>
      <c r="AS4" s="93" t="s">
        <v>5</v>
      </c>
      <c r="AT4" s="93" t="str">
        <f>N4</f>
        <v>I / 1</v>
      </c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1"/>
      <c r="BQ4" s="1"/>
      <c r="BR4" s="1"/>
      <c r="BS4" s="1" t="s">
        <v>0</v>
      </c>
      <c r="BT4" s="1"/>
      <c r="BU4" s="1"/>
      <c r="BV4" s="1"/>
      <c r="BW4" s="1"/>
      <c r="BX4" s="1"/>
      <c r="BY4" s="1" t="s">
        <v>5</v>
      </c>
      <c r="BZ4" s="1" t="str">
        <f>AT4</f>
        <v>I / 1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59"/>
      <c r="CW4" s="59"/>
      <c r="CX4" s="59"/>
      <c r="CY4" s="59"/>
    </row>
    <row r="5" spans="1:103" s="61" customFormat="1" ht="15" customHeight="1" x14ac:dyDescent="0.3">
      <c r="A5" s="1"/>
      <c r="B5" s="1"/>
      <c r="C5" s="1"/>
      <c r="D5" s="1"/>
      <c r="E5" s="1"/>
      <c r="F5" s="1"/>
      <c r="G5" s="1" t="s">
        <v>20</v>
      </c>
      <c r="H5" s="1"/>
      <c r="I5" s="1"/>
      <c r="J5" s="1"/>
      <c r="K5" s="1"/>
      <c r="L5" s="1"/>
      <c r="M5" s="1" t="s">
        <v>5</v>
      </c>
      <c r="N5" s="1" t="s">
        <v>159</v>
      </c>
      <c r="O5" s="1"/>
      <c r="P5" s="1"/>
      <c r="Q5" s="1" t="s">
        <v>5</v>
      </c>
      <c r="R5" s="1" t="s">
        <v>159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93" t="s">
        <v>20</v>
      </c>
      <c r="AN5" s="93"/>
      <c r="AO5" s="93"/>
      <c r="AP5" s="93"/>
      <c r="AQ5" s="93"/>
      <c r="AR5" s="93"/>
      <c r="AS5" s="93" t="s">
        <v>5</v>
      </c>
      <c r="AT5" s="93" t="str">
        <f>N5</f>
        <v>PAI dan Budi Pekerti</v>
      </c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1"/>
      <c r="BQ5" s="1"/>
      <c r="BR5" s="1"/>
      <c r="BS5" s="1" t="s">
        <v>20</v>
      </c>
      <c r="BT5" s="1"/>
      <c r="BU5" s="1"/>
      <c r="BV5" s="1"/>
      <c r="BW5" s="1"/>
      <c r="BX5" s="1"/>
      <c r="BY5" s="1" t="s">
        <v>5</v>
      </c>
      <c r="BZ5" s="1" t="str">
        <f>AT5</f>
        <v>PAI dan Budi Pekerti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59"/>
      <c r="CW5" s="59"/>
      <c r="CX5" s="59"/>
      <c r="CY5" s="59"/>
    </row>
    <row r="6" spans="1:103" s="61" customFormat="1" ht="15" customHeight="1" x14ac:dyDescent="0.3">
      <c r="A6" s="1"/>
      <c r="B6" s="1"/>
      <c r="C6" s="1"/>
      <c r="D6" s="1"/>
      <c r="E6" s="1"/>
      <c r="F6" s="1"/>
      <c r="G6" s="1" t="s">
        <v>160</v>
      </c>
      <c r="H6" s="1"/>
      <c r="I6" s="1"/>
      <c r="J6" s="1"/>
      <c r="K6" s="1"/>
      <c r="L6" s="1"/>
      <c r="M6" s="1" t="s">
        <v>67</v>
      </c>
      <c r="N6" s="1" t="s">
        <v>161</v>
      </c>
      <c r="O6" s="1"/>
      <c r="P6" s="1"/>
      <c r="Q6" s="1" t="s">
        <v>5</v>
      </c>
      <c r="R6" s="1" t="s">
        <v>113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93" t="s">
        <v>76</v>
      </c>
      <c r="AN6" s="93"/>
      <c r="AO6" s="93"/>
      <c r="AP6" s="93"/>
      <c r="AQ6" s="93"/>
      <c r="AR6" s="93"/>
      <c r="AS6" s="93" t="s">
        <v>67</v>
      </c>
      <c r="AT6" s="93" t="str">
        <f>N6</f>
        <v xml:space="preserve"> Senang membaca al-qur'an</v>
      </c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1"/>
      <c r="BQ6" s="1"/>
      <c r="BR6" s="1"/>
      <c r="BS6" s="1" t="s">
        <v>76</v>
      </c>
      <c r="BT6" s="1"/>
      <c r="BU6" s="1"/>
      <c r="BV6" s="1"/>
      <c r="BW6" s="1"/>
      <c r="BX6" s="1"/>
      <c r="BY6" s="1" t="s">
        <v>67</v>
      </c>
      <c r="BZ6" s="1" t="e" cm="1">
        <f t="array" ref="BZ6">S6T6</f>
        <v>#NAME?</v>
      </c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59"/>
      <c r="CW6" s="59"/>
      <c r="CX6" s="59"/>
      <c r="CY6" s="59"/>
    </row>
    <row r="7" spans="1:103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40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40"/>
      <c r="BF7" s="39"/>
      <c r="BG7" s="39"/>
      <c r="BH7" s="39"/>
      <c r="BI7" s="39"/>
      <c r="BJ7" s="39"/>
      <c r="BK7" s="39"/>
      <c r="BL7" s="39"/>
      <c r="BM7" s="39"/>
      <c r="BN7" s="39"/>
      <c r="BO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40"/>
      <c r="CL7" s="39"/>
      <c r="CM7" s="39"/>
      <c r="CN7" s="39"/>
      <c r="CO7" s="39"/>
      <c r="CP7" s="39"/>
      <c r="CQ7" s="39"/>
      <c r="CR7" s="39"/>
      <c r="CS7" s="39"/>
      <c r="CT7" s="39"/>
      <c r="CU7" s="39"/>
    </row>
    <row r="8" spans="1:103" ht="17.399999999999999" customHeight="1" x14ac:dyDescent="0.35">
      <c r="A8" s="138" t="s">
        <v>1</v>
      </c>
      <c r="B8" s="138" t="s">
        <v>68</v>
      </c>
      <c r="C8" s="138" t="s">
        <v>2</v>
      </c>
      <c r="D8" s="28"/>
      <c r="E8" s="65"/>
      <c r="F8" s="135" t="s">
        <v>110</v>
      </c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7"/>
      <c r="U8" s="135" t="s">
        <v>111</v>
      </c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7"/>
      <c r="AJ8" s="22"/>
      <c r="AK8" s="23"/>
      <c r="AL8" s="135" t="s">
        <v>112</v>
      </c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7"/>
      <c r="BA8" s="135" t="s">
        <v>75</v>
      </c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7"/>
      <c r="BP8" s="22"/>
      <c r="BQ8" s="23"/>
      <c r="BR8" s="135" t="s">
        <v>75</v>
      </c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7"/>
      <c r="CG8" s="135" t="s">
        <v>75</v>
      </c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7"/>
    </row>
    <row r="9" spans="1:103" ht="17.399999999999999" customHeight="1" x14ac:dyDescent="0.35">
      <c r="A9" s="149"/>
      <c r="B9" s="149"/>
      <c r="C9" s="149"/>
      <c r="D9" s="28"/>
      <c r="E9" s="65"/>
      <c r="F9" s="140" t="s">
        <v>77</v>
      </c>
      <c r="G9" s="63">
        <v>1</v>
      </c>
      <c r="H9" s="63">
        <v>2</v>
      </c>
      <c r="I9" s="63">
        <v>3</v>
      </c>
      <c r="J9" s="63">
        <v>4</v>
      </c>
      <c r="K9" s="63">
        <v>5</v>
      </c>
      <c r="L9" s="63">
        <v>6</v>
      </c>
      <c r="M9" s="63">
        <v>7</v>
      </c>
      <c r="N9" s="63">
        <v>8</v>
      </c>
      <c r="O9" s="63">
        <v>9</v>
      </c>
      <c r="P9" s="63">
        <v>10</v>
      </c>
      <c r="Q9" s="20"/>
      <c r="R9" s="138" t="s">
        <v>71</v>
      </c>
      <c r="S9" s="133" t="s">
        <v>3</v>
      </c>
      <c r="T9" s="133" t="s">
        <v>70</v>
      </c>
      <c r="U9" s="140" t="s">
        <v>77</v>
      </c>
      <c r="V9" s="63">
        <v>1</v>
      </c>
      <c r="W9" s="63">
        <v>2</v>
      </c>
      <c r="X9" s="63">
        <v>3</v>
      </c>
      <c r="Y9" s="63">
        <v>4</v>
      </c>
      <c r="Z9" s="63">
        <v>5</v>
      </c>
      <c r="AA9" s="63">
        <v>6</v>
      </c>
      <c r="AB9" s="63">
        <v>7</v>
      </c>
      <c r="AC9" s="63">
        <v>8</v>
      </c>
      <c r="AD9" s="63">
        <v>9</v>
      </c>
      <c r="AE9" s="63">
        <v>10</v>
      </c>
      <c r="AF9" s="20"/>
      <c r="AG9" s="138" t="s">
        <v>71</v>
      </c>
      <c r="AH9" s="133" t="s">
        <v>3</v>
      </c>
      <c r="AI9" s="133" t="s">
        <v>70</v>
      </c>
      <c r="AJ9" s="24"/>
      <c r="AK9" s="25"/>
      <c r="AL9" s="140" t="s">
        <v>77</v>
      </c>
      <c r="AM9" s="63">
        <v>1</v>
      </c>
      <c r="AN9" s="63">
        <v>2</v>
      </c>
      <c r="AO9" s="63">
        <v>3</v>
      </c>
      <c r="AP9" s="63">
        <v>4</v>
      </c>
      <c r="AQ9" s="63">
        <v>5</v>
      </c>
      <c r="AR9" s="63">
        <v>6</v>
      </c>
      <c r="AS9" s="63">
        <v>7</v>
      </c>
      <c r="AT9" s="63">
        <v>8</v>
      </c>
      <c r="AU9" s="63">
        <v>9</v>
      </c>
      <c r="AV9" s="63">
        <v>10</v>
      </c>
      <c r="AW9" s="20"/>
      <c r="AX9" s="138" t="s">
        <v>71</v>
      </c>
      <c r="AY9" s="133" t="s">
        <v>3</v>
      </c>
      <c r="AZ9" s="133" t="s">
        <v>70</v>
      </c>
      <c r="BA9" s="140" t="s">
        <v>77</v>
      </c>
      <c r="BB9" s="63">
        <v>1</v>
      </c>
      <c r="BC9" s="63">
        <v>2</v>
      </c>
      <c r="BD9" s="63">
        <v>3</v>
      </c>
      <c r="BE9" s="63">
        <v>4</v>
      </c>
      <c r="BF9" s="63">
        <v>5</v>
      </c>
      <c r="BG9" s="63">
        <v>6</v>
      </c>
      <c r="BH9" s="63">
        <v>7</v>
      </c>
      <c r="BI9" s="63">
        <v>8</v>
      </c>
      <c r="BJ9" s="63">
        <v>9</v>
      </c>
      <c r="BK9" s="63">
        <v>10</v>
      </c>
      <c r="BL9" s="20"/>
      <c r="BM9" s="138" t="s">
        <v>71</v>
      </c>
      <c r="BN9" s="133" t="s">
        <v>3</v>
      </c>
      <c r="BO9" s="133" t="s">
        <v>70</v>
      </c>
      <c r="BP9" s="24"/>
      <c r="BQ9" s="25"/>
      <c r="BR9" s="140" t="s">
        <v>77</v>
      </c>
      <c r="BS9" s="63">
        <v>1</v>
      </c>
      <c r="BT9" s="63">
        <v>2</v>
      </c>
      <c r="BU9" s="63">
        <v>3</v>
      </c>
      <c r="BV9" s="63">
        <v>4</v>
      </c>
      <c r="BW9" s="63">
        <v>5</v>
      </c>
      <c r="BX9" s="63">
        <v>6</v>
      </c>
      <c r="BY9" s="63">
        <v>7</v>
      </c>
      <c r="BZ9" s="63">
        <v>8</v>
      </c>
      <c r="CA9" s="63">
        <v>9</v>
      </c>
      <c r="CB9" s="63">
        <v>10</v>
      </c>
      <c r="CC9" s="20"/>
      <c r="CD9" s="138" t="s">
        <v>71</v>
      </c>
      <c r="CE9" s="133" t="s">
        <v>3</v>
      </c>
      <c r="CF9" s="133" t="s">
        <v>70</v>
      </c>
      <c r="CG9" s="140" t="s">
        <v>77</v>
      </c>
      <c r="CH9" s="63">
        <v>1</v>
      </c>
      <c r="CI9" s="63">
        <v>2</v>
      </c>
      <c r="CJ9" s="63">
        <v>3</v>
      </c>
      <c r="CK9" s="63">
        <v>4</v>
      </c>
      <c r="CL9" s="63">
        <v>5</v>
      </c>
      <c r="CM9" s="63">
        <v>6</v>
      </c>
      <c r="CN9" s="63">
        <v>7</v>
      </c>
      <c r="CO9" s="63">
        <v>8</v>
      </c>
      <c r="CP9" s="63">
        <v>9</v>
      </c>
      <c r="CQ9" s="63">
        <v>10</v>
      </c>
      <c r="CR9" s="20"/>
      <c r="CS9" s="138" t="s">
        <v>71</v>
      </c>
      <c r="CT9" s="133" t="s">
        <v>3</v>
      </c>
      <c r="CU9" s="133" t="s">
        <v>70</v>
      </c>
    </row>
    <row r="10" spans="1:103" ht="17.399999999999999" customHeight="1" x14ac:dyDescent="0.35">
      <c r="A10" s="149"/>
      <c r="B10" s="149"/>
      <c r="C10" s="149"/>
      <c r="D10" s="28"/>
      <c r="E10" s="65"/>
      <c r="F10" s="141"/>
      <c r="G10" s="135" t="s">
        <v>163</v>
      </c>
      <c r="H10" s="136"/>
      <c r="I10" s="136"/>
      <c r="J10" s="136"/>
      <c r="K10" s="136"/>
      <c r="L10" s="136"/>
      <c r="M10" s="136"/>
      <c r="N10" s="136"/>
      <c r="O10" s="136"/>
      <c r="P10" s="137"/>
      <c r="Q10" s="20"/>
      <c r="R10" s="139"/>
      <c r="S10" s="134"/>
      <c r="T10" s="134"/>
      <c r="U10" s="141"/>
      <c r="V10" s="135" t="s">
        <v>163</v>
      </c>
      <c r="W10" s="136"/>
      <c r="X10" s="136"/>
      <c r="Y10" s="136"/>
      <c r="Z10" s="136"/>
      <c r="AA10" s="136"/>
      <c r="AB10" s="136"/>
      <c r="AC10" s="136"/>
      <c r="AD10" s="136"/>
      <c r="AE10" s="137"/>
      <c r="AF10" s="20"/>
      <c r="AG10" s="139"/>
      <c r="AH10" s="134"/>
      <c r="AI10" s="134"/>
      <c r="AJ10" s="24"/>
      <c r="AK10" s="25"/>
      <c r="AL10" s="141"/>
      <c r="AM10" s="135" t="s">
        <v>163</v>
      </c>
      <c r="AN10" s="136"/>
      <c r="AO10" s="136"/>
      <c r="AP10" s="136"/>
      <c r="AQ10" s="136"/>
      <c r="AR10" s="136"/>
      <c r="AS10" s="136"/>
      <c r="AT10" s="136"/>
      <c r="AU10" s="136"/>
      <c r="AV10" s="137"/>
      <c r="AW10" s="20"/>
      <c r="AX10" s="139"/>
      <c r="AY10" s="134"/>
      <c r="AZ10" s="134"/>
      <c r="BA10" s="141"/>
      <c r="BB10" s="135" t="s">
        <v>78</v>
      </c>
      <c r="BC10" s="136"/>
      <c r="BD10" s="136"/>
      <c r="BE10" s="136"/>
      <c r="BF10" s="136"/>
      <c r="BG10" s="136"/>
      <c r="BH10" s="136"/>
      <c r="BI10" s="136"/>
      <c r="BJ10" s="136"/>
      <c r="BK10" s="137"/>
      <c r="BL10" s="20"/>
      <c r="BM10" s="139"/>
      <c r="BN10" s="134"/>
      <c r="BO10" s="134"/>
      <c r="BP10" s="24"/>
      <c r="BQ10" s="25"/>
      <c r="BR10" s="141"/>
      <c r="BS10" s="135" t="s">
        <v>78</v>
      </c>
      <c r="BT10" s="136"/>
      <c r="BU10" s="136"/>
      <c r="BV10" s="136"/>
      <c r="BW10" s="136"/>
      <c r="BX10" s="136"/>
      <c r="BY10" s="136"/>
      <c r="BZ10" s="136"/>
      <c r="CA10" s="136"/>
      <c r="CB10" s="137"/>
      <c r="CC10" s="20"/>
      <c r="CD10" s="139"/>
      <c r="CE10" s="134"/>
      <c r="CF10" s="134"/>
      <c r="CG10" s="141"/>
      <c r="CH10" s="135" t="s">
        <v>78</v>
      </c>
      <c r="CI10" s="136"/>
      <c r="CJ10" s="136"/>
      <c r="CK10" s="136"/>
      <c r="CL10" s="136"/>
      <c r="CM10" s="136"/>
      <c r="CN10" s="136"/>
      <c r="CO10" s="136"/>
      <c r="CP10" s="136"/>
      <c r="CQ10" s="137"/>
      <c r="CR10" s="20"/>
      <c r="CS10" s="139"/>
      <c r="CT10" s="134"/>
      <c r="CU10" s="134"/>
    </row>
    <row r="11" spans="1:103" ht="17.399999999999999" customHeight="1" x14ac:dyDescent="0.35">
      <c r="A11" s="64"/>
      <c r="B11" s="64"/>
      <c r="C11" s="19" t="s">
        <v>69</v>
      </c>
      <c r="D11" s="29"/>
      <c r="E11" s="66"/>
      <c r="F11" s="142"/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92">
        <v>1</v>
      </c>
      <c r="M11" s="92">
        <v>1</v>
      </c>
      <c r="N11" s="92">
        <v>1</v>
      </c>
      <c r="O11" s="92">
        <v>1</v>
      </c>
      <c r="P11" s="92">
        <v>2</v>
      </c>
      <c r="Q11" s="92">
        <v>10</v>
      </c>
      <c r="R11" s="2"/>
      <c r="S11" s="2"/>
      <c r="T11" s="2"/>
      <c r="U11" s="142"/>
      <c r="V11" s="2"/>
      <c r="W11" s="2"/>
      <c r="X11" s="2"/>
      <c r="Y11" s="2"/>
      <c r="Z11" s="2"/>
      <c r="AA11" s="2"/>
      <c r="AB11" s="92">
        <v>1</v>
      </c>
      <c r="AC11" s="92">
        <v>1</v>
      </c>
      <c r="AD11" s="92">
        <v>1</v>
      </c>
      <c r="AE11" s="92">
        <v>2</v>
      </c>
      <c r="AF11" s="92">
        <v>10</v>
      </c>
      <c r="AG11" s="2"/>
      <c r="AH11" s="2"/>
      <c r="AI11" s="2"/>
      <c r="AJ11" s="26"/>
      <c r="AK11" s="27"/>
      <c r="AL11" s="142"/>
      <c r="AM11" s="2">
        <v>2</v>
      </c>
      <c r="AN11" s="2">
        <v>2</v>
      </c>
      <c r="AO11" s="2">
        <v>2</v>
      </c>
      <c r="AP11" s="2">
        <v>2</v>
      </c>
      <c r="AQ11" s="2">
        <v>2</v>
      </c>
      <c r="AR11" s="92">
        <v>1</v>
      </c>
      <c r="AS11" s="92">
        <v>1</v>
      </c>
      <c r="AT11" s="92">
        <v>1</v>
      </c>
      <c r="AU11" s="92">
        <v>1</v>
      </c>
      <c r="AV11" s="92">
        <v>2</v>
      </c>
      <c r="AW11" s="92">
        <v>10</v>
      </c>
      <c r="AX11" s="2"/>
      <c r="AY11" s="2"/>
      <c r="AZ11" s="2"/>
      <c r="BA11" s="142"/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2</v>
      </c>
      <c r="BL11" s="2">
        <f>SUM(BB11:BK11)</f>
        <v>11</v>
      </c>
      <c r="BM11" s="2"/>
      <c r="BN11" s="2"/>
      <c r="BO11" s="2"/>
      <c r="BP11" s="26"/>
      <c r="BQ11" s="27"/>
      <c r="BR11" s="142"/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2</v>
      </c>
      <c r="CC11" s="2">
        <f>SUM(BS11:CB11)</f>
        <v>11</v>
      </c>
      <c r="CD11" s="2"/>
      <c r="CE11" s="2"/>
      <c r="CF11" s="2"/>
      <c r="CG11" s="142"/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2</v>
      </c>
      <c r="CR11" s="2">
        <f>SUM(CH11:CQ11)</f>
        <v>11</v>
      </c>
      <c r="CS11" s="2"/>
      <c r="CT11" s="2"/>
      <c r="CU11" s="2"/>
    </row>
    <row r="12" spans="1:103" ht="15" customHeight="1" x14ac:dyDescent="0.35">
      <c r="A12" s="41">
        <v>1</v>
      </c>
      <c r="B12" s="105" t="s">
        <v>204</v>
      </c>
      <c r="C12" s="106" t="s">
        <v>175</v>
      </c>
      <c r="D12" s="31"/>
      <c r="E12" s="36"/>
      <c r="F12" s="70">
        <v>70</v>
      </c>
      <c r="G12" s="42">
        <v>2</v>
      </c>
      <c r="H12" s="42">
        <v>2</v>
      </c>
      <c r="I12" s="42">
        <v>2</v>
      </c>
      <c r="J12" s="42">
        <v>2</v>
      </c>
      <c r="K12" s="42">
        <v>2</v>
      </c>
      <c r="L12" s="42"/>
      <c r="M12" s="42"/>
      <c r="N12" s="42"/>
      <c r="O12" s="42"/>
      <c r="P12" s="42"/>
      <c r="Q12" s="2"/>
      <c r="R12" s="43">
        <f>SUM(G12:P12)</f>
        <v>10</v>
      </c>
      <c r="S12" s="44">
        <f>R12/Q11*100</f>
        <v>100</v>
      </c>
      <c r="T12" s="35" t="str">
        <f>IFERROR(IF(S12&lt;F12,"Perbaikan",IF(S12&gt;=F12,"Pengayaan","")),"")</f>
        <v>Pengayaan</v>
      </c>
      <c r="U12" s="94">
        <v>70</v>
      </c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3">
        <f>SUM(V12:AE12)</f>
        <v>0</v>
      </c>
      <c r="AH12" s="44">
        <f>AG12/AF11*100</f>
        <v>0</v>
      </c>
      <c r="AI12" s="35" t="str">
        <f>IFERROR(IF(AH12&lt;U12,"Perbaiakan",IF(AH12&gt;=U12,"Pengayaan","")),"")</f>
        <v>Perbaiakan</v>
      </c>
      <c r="AJ12" s="32"/>
      <c r="AK12" s="33"/>
      <c r="AL12" s="70">
        <v>70</v>
      </c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2"/>
      <c r="AX12" s="43">
        <f>SUM(AM12:AV12)</f>
        <v>0</v>
      </c>
      <c r="AY12" s="44">
        <f>AX12/AW11*100</f>
        <v>0</v>
      </c>
      <c r="AZ12" s="35" t="str">
        <f>IFERROR(IF(AY12&lt;AL12,"Perbaiakan",IF(AY12&gt;=AL12,"Pengayaan","")),"")</f>
        <v>Perbaiakan</v>
      </c>
      <c r="BA12" s="67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3">
        <f>SUM(BB12:BK12)</f>
        <v>0</v>
      </c>
      <c r="BN12" s="44">
        <f>BM12/BL11*100</f>
        <v>0</v>
      </c>
      <c r="BO12" s="35" t="str">
        <f>IFERROR(IF(BN12&lt;BA12,"Perbaiakan",IF(BN12&gt;=BA12,"Pengayaan","")),"")</f>
        <v>Pengayaan</v>
      </c>
      <c r="BP12" s="32"/>
      <c r="BQ12" s="33"/>
      <c r="BR12" s="70">
        <v>65</v>
      </c>
      <c r="BS12" s="42">
        <v>1</v>
      </c>
      <c r="BT12" s="42">
        <v>1</v>
      </c>
      <c r="BU12" s="42">
        <v>1</v>
      </c>
      <c r="BV12" s="42">
        <v>1</v>
      </c>
      <c r="BW12" s="42">
        <v>1</v>
      </c>
      <c r="BX12" s="42">
        <v>1</v>
      </c>
      <c r="BY12" s="42">
        <v>1</v>
      </c>
      <c r="BZ12" s="42">
        <v>1</v>
      </c>
      <c r="CA12" s="42">
        <v>1</v>
      </c>
      <c r="CB12" s="42">
        <v>2</v>
      </c>
      <c r="CC12" s="2"/>
      <c r="CD12" s="43">
        <f>SUM(BS12:CB12)</f>
        <v>11</v>
      </c>
      <c r="CE12" s="44">
        <f>CD12/CC11*100</f>
        <v>100</v>
      </c>
      <c r="CF12" s="35" t="str">
        <f>IFERROR(IF(CE12&lt;BR12,"Perbaiakan",IF(CE12&gt;=BR12,"Pengayaan","")),"")</f>
        <v>Pengayaan</v>
      </c>
      <c r="CG12" s="67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3">
        <f>SUM(CH12:CQ12)</f>
        <v>0</v>
      </c>
      <c r="CT12" s="44">
        <f>CS12/CR11*100</f>
        <v>0</v>
      </c>
      <c r="CU12" s="35" t="str">
        <f>IFERROR(IF(CT12&lt;CG12,"Perbaiakan",IF(CT12&gt;=CG12,"Pengayaan","")),"")</f>
        <v>Pengayaan</v>
      </c>
    </row>
    <row r="13" spans="1:103" ht="15" customHeight="1" x14ac:dyDescent="0.35">
      <c r="A13" s="45">
        <v>2</v>
      </c>
      <c r="B13" s="105" t="s">
        <v>205</v>
      </c>
      <c r="C13" s="106" t="s">
        <v>176</v>
      </c>
      <c r="D13" s="31"/>
      <c r="E13" s="36"/>
      <c r="F13" s="70">
        <v>70</v>
      </c>
      <c r="G13" s="42">
        <v>2</v>
      </c>
      <c r="H13" s="42">
        <v>2</v>
      </c>
      <c r="I13" s="42">
        <v>2</v>
      </c>
      <c r="J13" s="42">
        <v>2</v>
      </c>
      <c r="K13" s="42">
        <v>2</v>
      </c>
      <c r="L13" s="2"/>
      <c r="M13" s="2"/>
      <c r="N13" s="2"/>
      <c r="O13" s="2"/>
      <c r="P13" s="2"/>
      <c r="Q13" s="2"/>
      <c r="R13" s="43">
        <f t="shared" ref="R13:R40" si="0">SUM(G13:P13)</f>
        <v>10</v>
      </c>
      <c r="S13" s="44">
        <f>R13/Q11*100</f>
        <v>100</v>
      </c>
      <c r="T13" s="35" t="str">
        <f t="shared" ref="T13:T40" si="1">IFERROR(IF(S13&lt;F13,"Perbaiakan",IF(S13&gt;=F13,"Pengayaan","")),"")</f>
        <v>Pengayaan</v>
      </c>
      <c r="U13" s="94">
        <v>70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43">
        <f t="shared" ref="AG13:AG40" si="2">SUM(V13:AE13)</f>
        <v>0</v>
      </c>
      <c r="AH13" s="44">
        <f>AG13/AF11*100</f>
        <v>0</v>
      </c>
      <c r="AI13" s="35" t="str">
        <f t="shared" ref="AI13:AI40" si="3">IFERROR(IF(AH13&lt;U13,"Perbaiakan",IF(AH13&gt;=U13,"Pengayaan","")),"")</f>
        <v>Perbaiakan</v>
      </c>
      <c r="AJ13" s="32"/>
      <c r="AK13" s="33"/>
      <c r="AL13" s="70">
        <v>70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43">
        <f t="shared" ref="AX13:AX40" si="4">SUM(AM13:AV13)</f>
        <v>0</v>
      </c>
      <c r="AY13" s="44">
        <f>AX13/AW11*100</f>
        <v>0</v>
      </c>
      <c r="AZ13" s="35" t="str">
        <f t="shared" ref="AZ13:AZ40" si="5">IFERROR(IF(AY13&lt;AL13,"Perbaiakan",IF(AY13&gt;=AL13,"Pengayaan","")),"")</f>
        <v>Perbaiakan</v>
      </c>
      <c r="BA13" s="68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43">
        <f t="shared" ref="BM13:BM40" si="6">SUM(BB13:BK13)</f>
        <v>0</v>
      </c>
      <c r="BN13" s="44">
        <f>BM13/BL11*100</f>
        <v>0</v>
      </c>
      <c r="BO13" s="35" t="str">
        <f t="shared" ref="BO13:BO40" si="7">IFERROR(IF(BN13&lt;BA13,"Perbaiakan",IF(BN13&gt;=BA13,"Pengayaan","")),"")</f>
        <v>Pengayaan</v>
      </c>
      <c r="BP13" s="32"/>
      <c r="BQ13" s="33"/>
      <c r="BR13" s="70">
        <v>60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/>
      <c r="BZ13" s="2"/>
      <c r="CA13" s="2"/>
      <c r="CB13" s="2"/>
      <c r="CC13" s="2"/>
      <c r="CD13" s="43">
        <f t="shared" ref="CD13:CD40" si="8">SUM(BS13:CB13)</f>
        <v>6</v>
      </c>
      <c r="CE13" s="44">
        <f>CD13/CC11*100</f>
        <v>54.54545454545454</v>
      </c>
      <c r="CF13" s="35" t="str">
        <f t="shared" ref="CF13:CF40" si="9">IFERROR(IF(CE13&lt;BR13,"Perbaiakan",IF(CE13&gt;=BR13,"Pengayaan","")),"")</f>
        <v>Perbaiakan</v>
      </c>
      <c r="CG13" s="68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43">
        <f t="shared" ref="CS13:CS40" si="10">SUM(CH13:CQ13)</f>
        <v>0</v>
      </c>
      <c r="CT13" s="44">
        <f>CS13/CR11*100</f>
        <v>0</v>
      </c>
      <c r="CU13" s="35" t="str">
        <f t="shared" ref="CU13:CU40" si="11">IFERROR(IF(CT13&lt;CG13,"Perbaiakan",IF(CT13&gt;=CG13,"Pengayaan","")),"")</f>
        <v>Pengayaan</v>
      </c>
    </row>
    <row r="14" spans="1:103" ht="15" customHeight="1" x14ac:dyDescent="0.35">
      <c r="A14" s="45">
        <v>3</v>
      </c>
      <c r="B14" s="105" t="s">
        <v>206</v>
      </c>
      <c r="C14" s="106" t="s">
        <v>177</v>
      </c>
      <c r="D14" s="31"/>
      <c r="E14" s="36"/>
      <c r="F14" s="70">
        <v>70</v>
      </c>
      <c r="G14" s="42">
        <v>2</v>
      </c>
      <c r="H14" s="42">
        <v>2</v>
      </c>
      <c r="I14" s="42">
        <v>2</v>
      </c>
      <c r="J14" s="42">
        <v>2</v>
      </c>
      <c r="K14" s="42">
        <v>2</v>
      </c>
      <c r="L14" s="2"/>
      <c r="M14" s="2"/>
      <c r="N14" s="2"/>
      <c r="O14" s="2"/>
      <c r="P14" s="2"/>
      <c r="Q14" s="2"/>
      <c r="R14" s="43">
        <f t="shared" si="0"/>
        <v>10</v>
      </c>
      <c r="S14" s="44">
        <f>R14/Q11*100</f>
        <v>100</v>
      </c>
      <c r="T14" s="35" t="str">
        <f>IFERROR(IF(S14&lt;F14,"Perbaikan",IF(S14&gt;=F14,"Pengayaan","")),"")</f>
        <v>Pengayaan</v>
      </c>
      <c r="U14" s="94">
        <v>70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43">
        <f t="shared" si="2"/>
        <v>0</v>
      </c>
      <c r="AH14" s="44">
        <f>AG14/AF11*100</f>
        <v>0</v>
      </c>
      <c r="AI14" s="35" t="str">
        <f t="shared" si="3"/>
        <v>Perbaiakan</v>
      </c>
      <c r="AJ14" s="32"/>
      <c r="AK14" s="33"/>
      <c r="AL14" s="70">
        <v>70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43">
        <f t="shared" si="4"/>
        <v>0</v>
      </c>
      <c r="AY14" s="44">
        <f>AX14/AW11*100</f>
        <v>0</v>
      </c>
      <c r="AZ14" s="35" t="str">
        <f t="shared" si="5"/>
        <v>Perbaiakan</v>
      </c>
      <c r="BA14" s="68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43">
        <f t="shared" si="6"/>
        <v>0</v>
      </c>
      <c r="BN14" s="44">
        <f>BM14/BL11*100</f>
        <v>0</v>
      </c>
      <c r="BO14" s="35" t="str">
        <f t="shared" si="7"/>
        <v>Pengayaan</v>
      </c>
      <c r="BP14" s="32"/>
      <c r="BQ14" s="33"/>
      <c r="BR14" s="70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43">
        <f t="shared" si="8"/>
        <v>0</v>
      </c>
      <c r="CE14" s="44">
        <f>CD14/CC11*100</f>
        <v>0</v>
      </c>
      <c r="CF14" s="35" t="str">
        <f t="shared" si="9"/>
        <v>Pengayaan</v>
      </c>
      <c r="CG14" s="68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43">
        <f t="shared" si="10"/>
        <v>0</v>
      </c>
      <c r="CT14" s="44">
        <f>CS14/CR11*100</f>
        <v>0</v>
      </c>
      <c r="CU14" s="35" t="str">
        <f t="shared" si="11"/>
        <v>Pengayaan</v>
      </c>
    </row>
    <row r="15" spans="1:103" ht="15" customHeight="1" x14ac:dyDescent="0.35">
      <c r="A15" s="45">
        <v>4</v>
      </c>
      <c r="B15" s="105" t="s">
        <v>207</v>
      </c>
      <c r="C15" s="106" t="s">
        <v>178</v>
      </c>
      <c r="D15" s="31"/>
      <c r="E15" s="36"/>
      <c r="F15" s="70">
        <v>70</v>
      </c>
      <c r="G15" s="42">
        <v>2</v>
      </c>
      <c r="H15" s="42">
        <v>2</v>
      </c>
      <c r="I15" s="42">
        <v>2</v>
      </c>
      <c r="J15" s="42">
        <v>2</v>
      </c>
      <c r="K15" s="42">
        <v>2</v>
      </c>
      <c r="L15" s="2"/>
      <c r="M15" s="2"/>
      <c r="N15" s="2"/>
      <c r="O15" s="2"/>
      <c r="P15" s="2"/>
      <c r="Q15" s="2"/>
      <c r="R15" s="43">
        <f t="shared" si="0"/>
        <v>10</v>
      </c>
      <c r="S15" s="44">
        <f>R15/Q11*100</f>
        <v>100</v>
      </c>
      <c r="T15" s="35" t="str">
        <f t="shared" si="1"/>
        <v>Pengayaan</v>
      </c>
      <c r="U15" s="94">
        <v>70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43">
        <f t="shared" si="2"/>
        <v>0</v>
      </c>
      <c r="AH15" s="44">
        <f>AG15/AF11*100</f>
        <v>0</v>
      </c>
      <c r="AI15" s="35" t="str">
        <f t="shared" si="3"/>
        <v>Perbaiakan</v>
      </c>
      <c r="AJ15" s="32"/>
      <c r="AK15" s="33"/>
      <c r="AL15" s="70">
        <v>70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43">
        <f t="shared" si="4"/>
        <v>0</v>
      </c>
      <c r="AY15" s="44">
        <f>AX15/AW11*100</f>
        <v>0</v>
      </c>
      <c r="AZ15" s="35" t="str">
        <f t="shared" si="5"/>
        <v>Perbaiakan</v>
      </c>
      <c r="BA15" s="68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43">
        <f t="shared" si="6"/>
        <v>0</v>
      </c>
      <c r="BN15" s="44">
        <f>BM15/BL11*100</f>
        <v>0</v>
      </c>
      <c r="BO15" s="35" t="str">
        <f t="shared" si="7"/>
        <v>Pengayaan</v>
      </c>
      <c r="BP15" s="32"/>
      <c r="BQ15" s="33"/>
      <c r="BR15" s="70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43">
        <f t="shared" si="8"/>
        <v>0</v>
      </c>
      <c r="CE15" s="44">
        <f>CD15/CC11*100</f>
        <v>0</v>
      </c>
      <c r="CF15" s="35" t="str">
        <f t="shared" si="9"/>
        <v>Pengayaan</v>
      </c>
      <c r="CG15" s="68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43">
        <f t="shared" si="10"/>
        <v>0</v>
      </c>
      <c r="CT15" s="44">
        <f>CS15/CR11*100</f>
        <v>0</v>
      </c>
      <c r="CU15" s="35" t="str">
        <f t="shared" si="11"/>
        <v>Pengayaan</v>
      </c>
    </row>
    <row r="16" spans="1:103" ht="15" customHeight="1" x14ac:dyDescent="0.35">
      <c r="A16" s="45">
        <v>5</v>
      </c>
      <c r="B16" s="105" t="s">
        <v>208</v>
      </c>
      <c r="C16" s="106" t="s">
        <v>179</v>
      </c>
      <c r="D16" s="31"/>
      <c r="E16" s="36"/>
      <c r="F16" s="70">
        <v>70</v>
      </c>
      <c r="G16" s="2">
        <v>2</v>
      </c>
      <c r="H16" s="2">
        <v>1</v>
      </c>
      <c r="I16" s="2">
        <v>0</v>
      </c>
      <c r="J16" s="2">
        <v>2</v>
      </c>
      <c r="K16" s="2">
        <v>2</v>
      </c>
      <c r="L16" s="2"/>
      <c r="M16" s="2"/>
      <c r="N16" s="2"/>
      <c r="O16" s="2"/>
      <c r="P16" s="2"/>
      <c r="Q16" s="2"/>
      <c r="R16" s="43">
        <f t="shared" si="0"/>
        <v>7</v>
      </c>
      <c r="S16" s="44">
        <f>R16/Q11*100</f>
        <v>70</v>
      </c>
      <c r="T16" s="35" t="str">
        <f>IFERROR(IF(S16&lt;F16,"Perbaikan",IF(S16&gt;=F16,"Pengayaan","")),"")</f>
        <v>Pengayaan</v>
      </c>
      <c r="U16" s="94">
        <v>70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43">
        <f t="shared" si="2"/>
        <v>0</v>
      </c>
      <c r="AH16" s="44">
        <f>AG16/AF11*100</f>
        <v>0</v>
      </c>
      <c r="AI16" s="35" t="str">
        <f t="shared" si="3"/>
        <v>Perbaiakan</v>
      </c>
      <c r="AJ16" s="32"/>
      <c r="AK16" s="33"/>
      <c r="AL16" s="70">
        <v>70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43">
        <f t="shared" si="4"/>
        <v>0</v>
      </c>
      <c r="AY16" s="44">
        <f>AX16/AW11*100</f>
        <v>0</v>
      </c>
      <c r="AZ16" s="35" t="str">
        <f t="shared" si="5"/>
        <v>Perbaiakan</v>
      </c>
      <c r="BA16" s="68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43">
        <f t="shared" si="6"/>
        <v>0</v>
      </c>
      <c r="BN16" s="44">
        <f>BM16/BL11*100</f>
        <v>0</v>
      </c>
      <c r="BO16" s="35" t="str">
        <f t="shared" si="7"/>
        <v>Pengayaan</v>
      </c>
      <c r="BP16" s="32"/>
      <c r="BQ16" s="33"/>
      <c r="BR16" s="70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43">
        <f t="shared" si="8"/>
        <v>0</v>
      </c>
      <c r="CE16" s="44">
        <f>CD16/CC11*100</f>
        <v>0</v>
      </c>
      <c r="CF16" s="35" t="str">
        <f t="shared" si="9"/>
        <v>Pengayaan</v>
      </c>
      <c r="CG16" s="68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43">
        <f t="shared" si="10"/>
        <v>0</v>
      </c>
      <c r="CT16" s="44">
        <f>CS16/CR11*100</f>
        <v>0</v>
      </c>
      <c r="CU16" s="35" t="str">
        <f t="shared" si="11"/>
        <v>Pengayaan</v>
      </c>
    </row>
    <row r="17" spans="1:99" ht="15" customHeight="1" x14ac:dyDescent="0.35">
      <c r="A17" s="45">
        <v>6</v>
      </c>
      <c r="B17" s="105" t="s">
        <v>209</v>
      </c>
      <c r="C17" s="106" t="s">
        <v>180</v>
      </c>
      <c r="D17" s="31"/>
      <c r="E17" s="36"/>
      <c r="F17" s="70">
        <v>70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/>
      <c r="M17" s="2"/>
      <c r="N17" s="2"/>
      <c r="O17" s="2"/>
      <c r="P17" s="2"/>
      <c r="Q17" s="2"/>
      <c r="R17" s="43">
        <f t="shared" si="0"/>
        <v>10</v>
      </c>
      <c r="S17" s="44">
        <f>R17/Q11*100</f>
        <v>100</v>
      </c>
      <c r="T17" s="35" t="str">
        <f>IFERROR(IF(S17&lt;F17,"Perbaikan",IF(S17&gt;=F17,"Pengayaan","")),"")</f>
        <v>Pengayaan</v>
      </c>
      <c r="U17" s="94">
        <v>70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43">
        <f t="shared" si="2"/>
        <v>0</v>
      </c>
      <c r="AH17" s="44">
        <f>AG17/AF11*100</f>
        <v>0</v>
      </c>
      <c r="AI17" s="35" t="str">
        <f t="shared" si="3"/>
        <v>Perbaiakan</v>
      </c>
      <c r="AJ17" s="32"/>
      <c r="AK17" s="33"/>
      <c r="AL17" s="70">
        <v>70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43">
        <f t="shared" si="4"/>
        <v>0</v>
      </c>
      <c r="AY17" s="44">
        <f>AX17/AW11*100</f>
        <v>0</v>
      </c>
      <c r="AZ17" s="35" t="str">
        <f>IFERROR(IF(AY17&lt;AL17,"Perbaikan",IF(AY17&gt;=AL17,"Pengayaan","")),"")</f>
        <v>Perbaikan</v>
      </c>
      <c r="BA17" s="68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43">
        <f t="shared" si="6"/>
        <v>0</v>
      </c>
      <c r="BN17" s="44">
        <f>BM17/BL11*100</f>
        <v>0</v>
      </c>
      <c r="BO17" s="35" t="str">
        <f t="shared" si="7"/>
        <v>Pengayaan</v>
      </c>
      <c r="BP17" s="32"/>
      <c r="BQ17" s="33"/>
      <c r="BR17" s="70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43">
        <f t="shared" si="8"/>
        <v>0</v>
      </c>
      <c r="CE17" s="44">
        <f>CD17/CC11*100</f>
        <v>0</v>
      </c>
      <c r="CF17" s="35" t="str">
        <f t="shared" si="9"/>
        <v>Pengayaan</v>
      </c>
      <c r="CG17" s="68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43">
        <f t="shared" si="10"/>
        <v>0</v>
      </c>
      <c r="CT17" s="44">
        <f>CS17/CR11*100</f>
        <v>0</v>
      </c>
      <c r="CU17" s="35" t="str">
        <f t="shared" si="11"/>
        <v>Pengayaan</v>
      </c>
    </row>
    <row r="18" spans="1:99" ht="15" customHeight="1" x14ac:dyDescent="0.35">
      <c r="A18" s="45">
        <v>7</v>
      </c>
      <c r="B18" s="105" t="s">
        <v>210</v>
      </c>
      <c r="C18" s="106" t="s">
        <v>181</v>
      </c>
      <c r="D18" s="31"/>
      <c r="E18" s="36"/>
      <c r="F18" s="70">
        <v>70</v>
      </c>
      <c r="G18" s="2">
        <v>2</v>
      </c>
      <c r="H18" s="2">
        <v>2</v>
      </c>
      <c r="I18" s="2">
        <v>2</v>
      </c>
      <c r="J18" s="2">
        <v>1</v>
      </c>
      <c r="K18" s="2">
        <v>0</v>
      </c>
      <c r="L18" s="2"/>
      <c r="M18" s="2"/>
      <c r="N18" s="2"/>
      <c r="O18" s="2"/>
      <c r="P18" s="2"/>
      <c r="Q18" s="2"/>
      <c r="R18" s="43">
        <f t="shared" si="0"/>
        <v>7</v>
      </c>
      <c r="S18" s="44">
        <f>R18/Q11*100</f>
        <v>70</v>
      </c>
      <c r="T18" s="35" t="str">
        <f t="shared" si="1"/>
        <v>Pengayaan</v>
      </c>
      <c r="U18" s="94">
        <v>70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43">
        <f t="shared" si="2"/>
        <v>0</v>
      </c>
      <c r="AH18" s="44">
        <f>AG18/AF11*100</f>
        <v>0</v>
      </c>
      <c r="AI18" s="35" t="str">
        <f>IFERROR(IF(AH18&lt;U18,"Perbaikan",IF(AH18&gt;=U18,"Pengayaan","")),"")</f>
        <v>Perbaikan</v>
      </c>
      <c r="AJ18" s="32"/>
      <c r="AK18" s="33"/>
      <c r="AL18" s="70">
        <v>70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43">
        <f t="shared" si="4"/>
        <v>0</v>
      </c>
      <c r="AY18" s="44">
        <f>AX18/AW11*100</f>
        <v>0</v>
      </c>
      <c r="AZ18" s="35" t="str">
        <f t="shared" si="5"/>
        <v>Perbaiakan</v>
      </c>
      <c r="BA18" s="68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43">
        <f t="shared" si="6"/>
        <v>0</v>
      </c>
      <c r="BN18" s="44">
        <f>BM18/BL11*100</f>
        <v>0</v>
      </c>
      <c r="BO18" s="35" t="str">
        <f t="shared" si="7"/>
        <v>Pengayaan</v>
      </c>
      <c r="BP18" s="32"/>
      <c r="BQ18" s="33"/>
      <c r="BR18" s="70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43">
        <f t="shared" si="8"/>
        <v>0</v>
      </c>
      <c r="CE18" s="44">
        <f>CD18/CC11*100</f>
        <v>0</v>
      </c>
      <c r="CF18" s="35" t="str">
        <f t="shared" si="9"/>
        <v>Pengayaan</v>
      </c>
      <c r="CG18" s="68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43">
        <f t="shared" si="10"/>
        <v>0</v>
      </c>
      <c r="CT18" s="44">
        <f>CS18/CR11*100</f>
        <v>0</v>
      </c>
      <c r="CU18" s="35" t="str">
        <f t="shared" si="11"/>
        <v>Pengayaan</v>
      </c>
    </row>
    <row r="19" spans="1:99" ht="15" customHeight="1" x14ac:dyDescent="0.35">
      <c r="A19" s="45">
        <v>8</v>
      </c>
      <c r="B19" s="105" t="s">
        <v>211</v>
      </c>
      <c r="C19" s="106" t="s">
        <v>182</v>
      </c>
      <c r="D19" s="31"/>
      <c r="E19" s="36"/>
      <c r="F19" s="70">
        <v>70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/>
      <c r="M19" s="2"/>
      <c r="N19" s="2"/>
      <c r="O19" s="2"/>
      <c r="P19" s="2"/>
      <c r="Q19" s="2"/>
      <c r="R19" s="43">
        <f t="shared" si="0"/>
        <v>10</v>
      </c>
      <c r="S19" s="44">
        <f>R19/Q11*100</f>
        <v>100</v>
      </c>
      <c r="T19" s="35" t="str">
        <f t="shared" si="1"/>
        <v>Pengayaan</v>
      </c>
      <c r="U19" s="94">
        <v>70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43">
        <f t="shared" si="2"/>
        <v>0</v>
      </c>
      <c r="AH19" s="44">
        <f>AG19/AF11*100</f>
        <v>0</v>
      </c>
      <c r="AI19" s="35" t="str">
        <f t="shared" si="3"/>
        <v>Perbaiakan</v>
      </c>
      <c r="AJ19" s="32"/>
      <c r="AK19" s="33"/>
      <c r="AL19" s="70">
        <v>70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43">
        <f t="shared" si="4"/>
        <v>0</v>
      </c>
      <c r="AY19" s="44">
        <f>AX19/AW11*100</f>
        <v>0</v>
      </c>
      <c r="AZ19" s="35" t="str">
        <f t="shared" si="5"/>
        <v>Perbaiakan</v>
      </c>
      <c r="BA19" s="68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43">
        <f t="shared" si="6"/>
        <v>0</v>
      </c>
      <c r="BN19" s="44">
        <f>BM19/BL11*100</f>
        <v>0</v>
      </c>
      <c r="BO19" s="35" t="str">
        <f t="shared" si="7"/>
        <v>Pengayaan</v>
      </c>
      <c r="BP19" s="32"/>
      <c r="BQ19" s="33"/>
      <c r="BR19" s="70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43">
        <f t="shared" si="8"/>
        <v>0</v>
      </c>
      <c r="CE19" s="44">
        <f>CD19/CC11*100</f>
        <v>0</v>
      </c>
      <c r="CF19" s="35" t="str">
        <f t="shared" si="9"/>
        <v>Pengayaan</v>
      </c>
      <c r="CG19" s="68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43">
        <f t="shared" si="10"/>
        <v>0</v>
      </c>
      <c r="CT19" s="44">
        <f>CS19/CR11*100</f>
        <v>0</v>
      </c>
      <c r="CU19" s="35" t="str">
        <f t="shared" si="11"/>
        <v>Pengayaan</v>
      </c>
    </row>
    <row r="20" spans="1:99" ht="15" customHeight="1" x14ac:dyDescent="0.35">
      <c r="A20" s="45">
        <v>9</v>
      </c>
      <c r="B20" s="105" t="s">
        <v>212</v>
      </c>
      <c r="C20" s="106" t="s">
        <v>183</v>
      </c>
      <c r="D20" s="31"/>
      <c r="E20" s="36"/>
      <c r="F20" s="70">
        <v>70</v>
      </c>
      <c r="G20" s="2">
        <v>2</v>
      </c>
      <c r="H20" s="2">
        <v>2</v>
      </c>
      <c r="I20" s="2">
        <v>2</v>
      </c>
      <c r="J20" s="2">
        <v>1</v>
      </c>
      <c r="K20" s="2">
        <v>0</v>
      </c>
      <c r="L20" s="2"/>
      <c r="M20" s="2"/>
      <c r="N20" s="2"/>
      <c r="O20" s="2"/>
      <c r="P20" s="2"/>
      <c r="Q20" s="2"/>
      <c r="R20" s="43">
        <f t="shared" si="0"/>
        <v>7</v>
      </c>
      <c r="S20" s="44">
        <f>R20/Q11*100</f>
        <v>70</v>
      </c>
      <c r="T20" s="35" t="str">
        <f t="shared" si="1"/>
        <v>Pengayaan</v>
      </c>
      <c r="U20" s="94">
        <v>70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43">
        <f t="shared" si="2"/>
        <v>0</v>
      </c>
      <c r="AH20" s="44">
        <f>AG20/AF11*100</f>
        <v>0</v>
      </c>
      <c r="AI20" s="35" t="str">
        <f t="shared" si="3"/>
        <v>Perbaiakan</v>
      </c>
      <c r="AJ20" s="32"/>
      <c r="AK20" s="33"/>
      <c r="AL20" s="70">
        <v>70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43">
        <f t="shared" si="4"/>
        <v>0</v>
      </c>
      <c r="AY20" s="44">
        <f>AX20/AW11*100</f>
        <v>0</v>
      </c>
      <c r="AZ20" s="35" t="str">
        <f t="shared" si="5"/>
        <v>Perbaiakan</v>
      </c>
      <c r="BA20" s="68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43">
        <f t="shared" si="6"/>
        <v>0</v>
      </c>
      <c r="BN20" s="44">
        <f>BM20/BL11*100</f>
        <v>0</v>
      </c>
      <c r="BO20" s="35" t="str">
        <f t="shared" si="7"/>
        <v>Pengayaan</v>
      </c>
      <c r="BP20" s="32"/>
      <c r="BQ20" s="33"/>
      <c r="BR20" s="70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43">
        <f t="shared" si="8"/>
        <v>0</v>
      </c>
      <c r="CE20" s="44">
        <f>CD20/CC11*100</f>
        <v>0</v>
      </c>
      <c r="CF20" s="35" t="str">
        <f t="shared" si="9"/>
        <v>Pengayaan</v>
      </c>
      <c r="CG20" s="68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43">
        <f t="shared" si="10"/>
        <v>0</v>
      </c>
      <c r="CT20" s="44">
        <f>CS20/CR11*100</f>
        <v>0</v>
      </c>
      <c r="CU20" s="35" t="str">
        <f t="shared" si="11"/>
        <v>Pengayaan</v>
      </c>
    </row>
    <row r="21" spans="1:99" ht="15" customHeight="1" x14ac:dyDescent="0.35">
      <c r="A21" s="45">
        <v>10</v>
      </c>
      <c r="B21" s="105" t="s">
        <v>213</v>
      </c>
      <c r="C21" s="106" t="s">
        <v>184</v>
      </c>
      <c r="D21" s="31"/>
      <c r="E21" s="36"/>
      <c r="F21" s="70">
        <v>70</v>
      </c>
      <c r="G21" s="2">
        <v>2</v>
      </c>
      <c r="H21" s="2">
        <v>2</v>
      </c>
      <c r="I21" s="2">
        <v>2</v>
      </c>
      <c r="J21" s="2">
        <v>1</v>
      </c>
      <c r="K21" s="2">
        <v>2</v>
      </c>
      <c r="L21" s="2"/>
      <c r="M21" s="2"/>
      <c r="N21" s="2"/>
      <c r="O21" s="2"/>
      <c r="P21" s="2"/>
      <c r="Q21" s="2"/>
      <c r="R21" s="43">
        <f t="shared" si="0"/>
        <v>9</v>
      </c>
      <c r="S21" s="44">
        <f>R21/Q11*100</f>
        <v>90</v>
      </c>
      <c r="T21" s="35" t="str">
        <f t="shared" si="1"/>
        <v>Pengayaan</v>
      </c>
      <c r="U21" s="94">
        <v>70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43">
        <f t="shared" si="2"/>
        <v>0</v>
      </c>
      <c r="AH21" s="44">
        <f>AG21/AF11*100</f>
        <v>0</v>
      </c>
      <c r="AI21" s="35" t="str">
        <f t="shared" si="3"/>
        <v>Perbaiakan</v>
      </c>
      <c r="AJ21" s="32"/>
      <c r="AK21" s="33"/>
      <c r="AL21" s="70">
        <v>70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43">
        <f t="shared" si="4"/>
        <v>0</v>
      </c>
      <c r="AY21" s="44">
        <f>AX21/AW11*100</f>
        <v>0</v>
      </c>
      <c r="AZ21" s="35" t="str">
        <f t="shared" si="5"/>
        <v>Perbaiakan</v>
      </c>
      <c r="BA21" s="68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43">
        <f t="shared" si="6"/>
        <v>0</v>
      </c>
      <c r="BN21" s="44">
        <f>BM21/BL11*100</f>
        <v>0</v>
      </c>
      <c r="BO21" s="35" t="str">
        <f t="shared" si="7"/>
        <v>Pengayaan</v>
      </c>
      <c r="BP21" s="32"/>
      <c r="BQ21" s="33"/>
      <c r="BR21" s="70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43">
        <f t="shared" si="8"/>
        <v>0</v>
      </c>
      <c r="CE21" s="44">
        <f>CD21/CC11*100</f>
        <v>0</v>
      </c>
      <c r="CF21" s="35" t="str">
        <f t="shared" si="9"/>
        <v>Pengayaan</v>
      </c>
      <c r="CG21" s="68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43">
        <f t="shared" si="10"/>
        <v>0</v>
      </c>
      <c r="CT21" s="44">
        <f>CS21/CR11*100</f>
        <v>0</v>
      </c>
      <c r="CU21" s="35" t="str">
        <f t="shared" si="11"/>
        <v>Pengayaan</v>
      </c>
    </row>
    <row r="22" spans="1:99" ht="15" customHeight="1" x14ac:dyDescent="0.35">
      <c r="A22" s="45">
        <v>11</v>
      </c>
      <c r="B22" s="105" t="s">
        <v>214</v>
      </c>
      <c r="C22" s="106" t="s">
        <v>185</v>
      </c>
      <c r="D22" s="31"/>
      <c r="E22" s="36"/>
      <c r="F22" s="70">
        <v>70</v>
      </c>
      <c r="G22" s="2">
        <v>2</v>
      </c>
      <c r="H22" s="2">
        <v>2</v>
      </c>
      <c r="I22" s="2">
        <v>2</v>
      </c>
      <c r="J22" s="2">
        <v>2</v>
      </c>
      <c r="K22" s="2">
        <v>1</v>
      </c>
      <c r="L22" s="2"/>
      <c r="M22" s="2"/>
      <c r="N22" s="2"/>
      <c r="O22" s="2"/>
      <c r="P22" s="2"/>
      <c r="Q22" s="2"/>
      <c r="R22" s="43">
        <f t="shared" si="0"/>
        <v>9</v>
      </c>
      <c r="S22" s="44">
        <f>R22/Q11*100</f>
        <v>90</v>
      </c>
      <c r="T22" s="35" t="str">
        <f>IFERROR(IF(S22&lt;F22,"Perbaikan",IF(S22&gt;=F22,"Pengayaan","")),"")</f>
        <v>Pengayaan</v>
      </c>
      <c r="U22" s="94">
        <v>70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3">
        <f t="shared" si="2"/>
        <v>0</v>
      </c>
      <c r="AH22" s="44">
        <f>AG22/AF11*100</f>
        <v>0</v>
      </c>
      <c r="AI22" s="35" t="str">
        <f>IFERROR(IF(AH22&lt;U22,"Perbaikan",IF(AH22&gt;=U22,"Pengayaan","")),"")</f>
        <v>Perbaikan</v>
      </c>
      <c r="AJ22" s="32"/>
      <c r="AK22" s="33"/>
      <c r="AL22" s="70">
        <v>70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3">
        <f t="shared" si="4"/>
        <v>0</v>
      </c>
      <c r="AY22" s="44">
        <f>AX22/AW11*100</f>
        <v>0</v>
      </c>
      <c r="AZ22" s="35" t="str">
        <f>IFERROR(IF(AY22&lt;AL22,"Perbaikan",IF(AY22&gt;=AL22,"Pengayaan","")),"")</f>
        <v>Perbaikan</v>
      </c>
      <c r="BA22" s="68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43">
        <f t="shared" si="6"/>
        <v>0</v>
      </c>
      <c r="BN22" s="44">
        <f>BM22/BL11*100</f>
        <v>0</v>
      </c>
      <c r="BO22" s="35" t="str">
        <f t="shared" si="7"/>
        <v>Pengayaan</v>
      </c>
      <c r="BP22" s="32"/>
      <c r="BQ22" s="33"/>
      <c r="BR22" s="70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43">
        <f t="shared" si="8"/>
        <v>0</v>
      </c>
      <c r="CE22" s="44">
        <f>CD22/CC11*100</f>
        <v>0</v>
      </c>
      <c r="CF22" s="35" t="str">
        <f t="shared" si="9"/>
        <v>Pengayaan</v>
      </c>
      <c r="CG22" s="68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43">
        <f t="shared" si="10"/>
        <v>0</v>
      </c>
      <c r="CT22" s="44">
        <f>CS22/CR11*100</f>
        <v>0</v>
      </c>
      <c r="CU22" s="35" t="str">
        <f t="shared" si="11"/>
        <v>Pengayaan</v>
      </c>
    </row>
    <row r="23" spans="1:99" ht="15" customHeight="1" x14ac:dyDescent="0.35">
      <c r="A23" s="45">
        <v>12</v>
      </c>
      <c r="B23" s="105" t="s">
        <v>215</v>
      </c>
      <c r="C23" s="106" t="s">
        <v>186</v>
      </c>
      <c r="D23" s="31"/>
      <c r="E23" s="36"/>
      <c r="F23" s="70">
        <v>70</v>
      </c>
      <c r="G23" s="2">
        <v>1</v>
      </c>
      <c r="H23" s="2">
        <v>2</v>
      </c>
      <c r="I23" s="2">
        <v>2</v>
      </c>
      <c r="J23" s="2">
        <v>2</v>
      </c>
      <c r="K23" s="2">
        <v>2</v>
      </c>
      <c r="L23" s="2"/>
      <c r="M23" s="2"/>
      <c r="N23" s="2"/>
      <c r="O23" s="2"/>
      <c r="P23" s="2"/>
      <c r="Q23" s="2"/>
      <c r="R23" s="43">
        <f t="shared" si="0"/>
        <v>9</v>
      </c>
      <c r="S23" s="44">
        <f>R23/Q11*100</f>
        <v>90</v>
      </c>
      <c r="T23" s="35" t="str">
        <f>IFERROR(IF(S23&lt;F23,"Perbaikan",IF(S23&gt;=F23,"Pengayaan","")),"")</f>
        <v>Pengayaan</v>
      </c>
      <c r="U23" s="94">
        <v>70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43">
        <f t="shared" si="2"/>
        <v>0</v>
      </c>
      <c r="AH23" s="44">
        <f>AG23/AF11*100</f>
        <v>0</v>
      </c>
      <c r="AI23" s="35" t="str">
        <f>IFERROR(IF(AH23&lt;U23,"Perbaikan",IF(AH23&gt;=U23,"Pengayaan","")),"")</f>
        <v>Perbaikan</v>
      </c>
      <c r="AJ23" s="32"/>
      <c r="AK23" s="33"/>
      <c r="AL23" s="70">
        <v>70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3">
        <f t="shared" si="4"/>
        <v>0</v>
      </c>
      <c r="AY23" s="44">
        <f>AX23/AW11*100</f>
        <v>0</v>
      </c>
      <c r="AZ23" s="35" t="str">
        <f>IFERROR(IF(AY23&lt;AL23,"Perbaikan",IF(AY23&gt;=AL23,"Pengayaan","")),"")</f>
        <v>Perbaikan</v>
      </c>
      <c r="BA23" s="68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43">
        <f t="shared" si="6"/>
        <v>0</v>
      </c>
      <c r="BN23" s="44">
        <f>BM23/BL11*100</f>
        <v>0</v>
      </c>
      <c r="BO23" s="35" t="str">
        <f t="shared" si="7"/>
        <v>Pengayaan</v>
      </c>
      <c r="BP23" s="32"/>
      <c r="BQ23" s="33"/>
      <c r="BR23" s="70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43">
        <f t="shared" si="8"/>
        <v>0</v>
      </c>
      <c r="CE23" s="44">
        <f>CD23/CC11*100</f>
        <v>0</v>
      </c>
      <c r="CF23" s="35" t="str">
        <f t="shared" si="9"/>
        <v>Pengayaan</v>
      </c>
      <c r="CG23" s="68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43">
        <f t="shared" si="10"/>
        <v>0</v>
      </c>
      <c r="CT23" s="44">
        <f>CS23/CR11*100</f>
        <v>0</v>
      </c>
      <c r="CU23" s="35" t="str">
        <f t="shared" si="11"/>
        <v>Pengayaan</v>
      </c>
    </row>
    <row r="24" spans="1:99" ht="15" customHeight="1" x14ac:dyDescent="0.35">
      <c r="A24" s="46">
        <v>13</v>
      </c>
      <c r="B24" s="105" t="s">
        <v>216</v>
      </c>
      <c r="C24" s="106" t="s">
        <v>187</v>
      </c>
      <c r="D24" s="31"/>
      <c r="E24" s="36"/>
      <c r="F24" s="70">
        <v>70</v>
      </c>
      <c r="G24" s="21">
        <v>2</v>
      </c>
      <c r="H24" s="21">
        <v>1</v>
      </c>
      <c r="I24" s="21">
        <v>0</v>
      </c>
      <c r="J24" s="21">
        <v>2</v>
      </c>
      <c r="K24" s="21">
        <v>2</v>
      </c>
      <c r="L24" s="21"/>
      <c r="M24" s="21"/>
      <c r="N24" s="21"/>
      <c r="O24" s="21"/>
      <c r="P24" s="21"/>
      <c r="Q24" s="2"/>
      <c r="R24" s="43">
        <f t="shared" si="0"/>
        <v>7</v>
      </c>
      <c r="S24" s="44">
        <f>R24/Q11*100</f>
        <v>70</v>
      </c>
      <c r="T24" s="35" t="str">
        <f>IFERROR(IF(S24&lt;F24,"Perbaikan",IF(S24&gt;=F24,"Pengayaan","")),"")</f>
        <v>Pengayaan</v>
      </c>
      <c r="U24" s="94">
        <v>70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43">
        <f t="shared" si="2"/>
        <v>0</v>
      </c>
      <c r="AH24" s="44">
        <f>AG24/AF11*100</f>
        <v>0</v>
      </c>
      <c r="AI24" s="35" t="str">
        <f>IFERROR(IF(AH24&lt;U24,"Perbaikan",IF(AH24&gt;=U24,"Pengayaan","")),"")</f>
        <v>Perbaikan</v>
      </c>
      <c r="AJ24" s="32"/>
      <c r="AK24" s="33"/>
      <c r="AL24" s="70">
        <v>70</v>
      </c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"/>
      <c r="AX24" s="43">
        <f t="shared" si="4"/>
        <v>0</v>
      </c>
      <c r="AY24" s="44">
        <f>AX24/AW11*100</f>
        <v>0</v>
      </c>
      <c r="AZ24" s="35" t="str">
        <f t="shared" si="5"/>
        <v>Perbaiakan</v>
      </c>
      <c r="BA24" s="68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43">
        <f t="shared" si="6"/>
        <v>0</v>
      </c>
      <c r="BN24" s="44">
        <f>BM24/BL11*100</f>
        <v>0</v>
      </c>
      <c r="BO24" s="35" t="str">
        <f t="shared" si="7"/>
        <v>Pengayaan</v>
      </c>
      <c r="BP24" s="32"/>
      <c r="BQ24" s="33"/>
      <c r="BR24" s="70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"/>
      <c r="CD24" s="43">
        <f t="shared" si="8"/>
        <v>0</v>
      </c>
      <c r="CE24" s="44">
        <f>CD24/CC11*100</f>
        <v>0</v>
      </c>
      <c r="CF24" s="35" t="str">
        <f t="shared" si="9"/>
        <v>Pengayaan</v>
      </c>
      <c r="CG24" s="68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43">
        <f t="shared" si="10"/>
        <v>0</v>
      </c>
      <c r="CT24" s="44">
        <f>CS24/CR11*100</f>
        <v>0</v>
      </c>
      <c r="CU24" s="35" t="str">
        <f t="shared" si="11"/>
        <v>Pengayaan</v>
      </c>
    </row>
    <row r="25" spans="1:99" ht="15" customHeight="1" x14ac:dyDescent="0.35">
      <c r="A25" s="45">
        <v>14</v>
      </c>
      <c r="B25" s="105" t="s">
        <v>217</v>
      </c>
      <c r="C25" s="106" t="s">
        <v>188</v>
      </c>
      <c r="D25" s="31"/>
      <c r="E25" s="36"/>
      <c r="F25" s="70">
        <v>70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/>
      <c r="M25" s="2"/>
      <c r="N25" s="2"/>
      <c r="O25" s="2"/>
      <c r="P25" s="2"/>
      <c r="Q25" s="2"/>
      <c r="R25" s="43">
        <f>SUM(G25:K25)</f>
        <v>10</v>
      </c>
      <c r="S25" s="44">
        <f>R25/Q11*100</f>
        <v>100</v>
      </c>
      <c r="T25" s="35" t="str">
        <f t="shared" si="1"/>
        <v>Pengayaan</v>
      </c>
      <c r="U25" s="94">
        <v>70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43">
        <f t="shared" si="2"/>
        <v>0</v>
      </c>
      <c r="AH25" s="44">
        <f>AG25/AF11*100</f>
        <v>0</v>
      </c>
      <c r="AI25" s="35" t="str">
        <f t="shared" si="3"/>
        <v>Perbaiakan</v>
      </c>
      <c r="AJ25" s="32"/>
      <c r="AK25" s="33"/>
      <c r="AL25" s="70">
        <v>70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3">
        <f t="shared" si="4"/>
        <v>0</v>
      </c>
      <c r="AY25" s="44">
        <f>AX25/AW11*100</f>
        <v>0</v>
      </c>
      <c r="AZ25" s="35" t="str">
        <f t="shared" si="5"/>
        <v>Perbaiakan</v>
      </c>
      <c r="BA25" s="68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43">
        <f t="shared" si="6"/>
        <v>0</v>
      </c>
      <c r="BN25" s="44">
        <f>BM25/BL11*100</f>
        <v>0</v>
      </c>
      <c r="BO25" s="35" t="str">
        <f t="shared" si="7"/>
        <v>Pengayaan</v>
      </c>
      <c r="BP25" s="32"/>
      <c r="BQ25" s="33"/>
      <c r="BR25" s="70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43">
        <f t="shared" si="8"/>
        <v>0</v>
      </c>
      <c r="CE25" s="44">
        <f>CD25/CC11*100</f>
        <v>0</v>
      </c>
      <c r="CF25" s="35" t="str">
        <f t="shared" si="9"/>
        <v>Pengayaan</v>
      </c>
      <c r="CG25" s="68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43">
        <f t="shared" si="10"/>
        <v>0</v>
      </c>
      <c r="CT25" s="44">
        <f>CS25/CR11*100</f>
        <v>0</v>
      </c>
      <c r="CU25" s="35" t="str">
        <f t="shared" si="11"/>
        <v>Pengayaan</v>
      </c>
    </row>
    <row r="26" spans="1:99" ht="15" customHeight="1" x14ac:dyDescent="0.35">
      <c r="A26" s="45">
        <v>15</v>
      </c>
      <c r="B26" s="105" t="s">
        <v>218</v>
      </c>
      <c r="C26" s="106" t="s">
        <v>189</v>
      </c>
      <c r="D26" s="31"/>
      <c r="E26" s="36"/>
      <c r="F26" s="70">
        <v>70</v>
      </c>
      <c r="G26" s="2">
        <v>2</v>
      </c>
      <c r="H26" s="2">
        <v>1</v>
      </c>
      <c r="I26" s="2">
        <v>2</v>
      </c>
      <c r="J26" s="2">
        <v>2</v>
      </c>
      <c r="K26" s="2">
        <v>2</v>
      </c>
      <c r="L26" s="2"/>
      <c r="M26" s="2"/>
      <c r="N26" s="2"/>
      <c r="O26" s="2"/>
      <c r="P26" s="2"/>
      <c r="Q26" s="2"/>
      <c r="R26" s="43">
        <f t="shared" si="0"/>
        <v>9</v>
      </c>
      <c r="S26" s="44">
        <f>R26/Q11*100</f>
        <v>90</v>
      </c>
      <c r="T26" s="35" t="str">
        <f t="shared" si="1"/>
        <v>Pengayaan</v>
      </c>
      <c r="U26" s="94">
        <v>70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43">
        <f t="shared" si="2"/>
        <v>0</v>
      </c>
      <c r="AH26" s="44">
        <f>AG26/AF11*100</f>
        <v>0</v>
      </c>
      <c r="AI26" s="35" t="str">
        <f t="shared" si="3"/>
        <v>Perbaiakan</v>
      </c>
      <c r="AJ26" s="32"/>
      <c r="AK26" s="33"/>
      <c r="AL26" s="70">
        <v>70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3">
        <f t="shared" si="4"/>
        <v>0</v>
      </c>
      <c r="AY26" s="44">
        <f>AX26/AW11*100</f>
        <v>0</v>
      </c>
      <c r="AZ26" s="35" t="str">
        <f>IFERROR(IF(AY26&lt;AL26,"Perbaikan",IF(AY26&gt;=AL26,"Pengayaan","")),"")</f>
        <v>Perbaikan</v>
      </c>
      <c r="BA26" s="68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43">
        <f t="shared" si="6"/>
        <v>0</v>
      </c>
      <c r="BN26" s="44">
        <f>BM26/BL11*100</f>
        <v>0</v>
      </c>
      <c r="BO26" s="35" t="str">
        <f t="shared" si="7"/>
        <v>Pengayaan</v>
      </c>
      <c r="BP26" s="32"/>
      <c r="BQ26" s="33"/>
      <c r="BR26" s="70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43">
        <f t="shared" si="8"/>
        <v>0</v>
      </c>
      <c r="CE26" s="44">
        <f>CD26/CC11*100</f>
        <v>0</v>
      </c>
      <c r="CF26" s="35" t="str">
        <f t="shared" si="9"/>
        <v>Pengayaan</v>
      </c>
      <c r="CG26" s="68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43">
        <f t="shared" si="10"/>
        <v>0</v>
      </c>
      <c r="CT26" s="44">
        <f>CS26/CR11*100</f>
        <v>0</v>
      </c>
      <c r="CU26" s="35" t="str">
        <f t="shared" si="11"/>
        <v>Pengayaan</v>
      </c>
    </row>
    <row r="27" spans="1:99" ht="15" customHeight="1" x14ac:dyDescent="0.35">
      <c r="A27" s="47">
        <v>16</v>
      </c>
      <c r="B27" s="105" t="s">
        <v>219</v>
      </c>
      <c r="C27" s="106" t="s">
        <v>190</v>
      </c>
      <c r="D27" s="31"/>
      <c r="E27" s="36"/>
      <c r="F27" s="70">
        <v>70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/>
      <c r="M27" s="48"/>
      <c r="N27" s="48"/>
      <c r="O27" s="48"/>
      <c r="P27" s="48"/>
      <c r="Q27" s="2"/>
      <c r="R27" s="43">
        <f t="shared" si="0"/>
        <v>10</v>
      </c>
      <c r="S27" s="44">
        <f>R27/Q11*100</f>
        <v>100</v>
      </c>
      <c r="T27" s="35" t="str">
        <f t="shared" si="1"/>
        <v>Pengayaan</v>
      </c>
      <c r="U27" s="94">
        <v>70</v>
      </c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3">
        <f t="shared" si="2"/>
        <v>0</v>
      </c>
      <c r="AH27" s="44">
        <f>AG27/AF11*100</f>
        <v>0</v>
      </c>
      <c r="AI27" s="35" t="str">
        <f t="shared" si="3"/>
        <v>Perbaiakan</v>
      </c>
      <c r="AJ27" s="32"/>
      <c r="AK27" s="33"/>
      <c r="AL27" s="70">
        <v>70</v>
      </c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2"/>
      <c r="AX27" s="43">
        <f t="shared" si="4"/>
        <v>0</v>
      </c>
      <c r="AY27" s="44">
        <f>AX27/AW11*100</f>
        <v>0</v>
      </c>
      <c r="AZ27" s="35" t="str">
        <f t="shared" si="5"/>
        <v>Perbaiakan</v>
      </c>
      <c r="BA27" s="69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3">
        <f t="shared" si="6"/>
        <v>0</v>
      </c>
      <c r="BN27" s="44">
        <f>BM27/BL11*100</f>
        <v>0</v>
      </c>
      <c r="BO27" s="35" t="str">
        <f t="shared" si="7"/>
        <v>Pengayaan</v>
      </c>
      <c r="BP27" s="32"/>
      <c r="BQ27" s="33"/>
      <c r="BR27" s="70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2"/>
      <c r="CD27" s="43">
        <f t="shared" si="8"/>
        <v>0</v>
      </c>
      <c r="CE27" s="44">
        <f>CD27/CC11*100</f>
        <v>0</v>
      </c>
      <c r="CF27" s="35" t="str">
        <f t="shared" si="9"/>
        <v>Pengayaan</v>
      </c>
      <c r="CG27" s="69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3">
        <f t="shared" si="10"/>
        <v>0</v>
      </c>
      <c r="CT27" s="44">
        <f>CS27/CR11*100</f>
        <v>0</v>
      </c>
      <c r="CU27" s="35" t="str">
        <f t="shared" si="11"/>
        <v>Pengayaan</v>
      </c>
    </row>
    <row r="28" spans="1:99" ht="15" customHeight="1" x14ac:dyDescent="0.35">
      <c r="A28" s="45">
        <v>17</v>
      </c>
      <c r="B28" s="105" t="s">
        <v>220</v>
      </c>
      <c r="C28" s="106" t="s">
        <v>191</v>
      </c>
      <c r="D28" s="31"/>
      <c r="E28" s="36"/>
      <c r="F28" s="70">
        <v>70</v>
      </c>
      <c r="G28" s="2">
        <v>0</v>
      </c>
      <c r="H28" s="2">
        <v>2</v>
      </c>
      <c r="I28" s="2">
        <v>2</v>
      </c>
      <c r="J28" s="2">
        <v>2</v>
      </c>
      <c r="K28" s="2">
        <v>2</v>
      </c>
      <c r="L28" s="2"/>
      <c r="M28" s="2"/>
      <c r="N28" s="2"/>
      <c r="O28" s="2"/>
      <c r="P28" s="2"/>
      <c r="Q28" s="2"/>
      <c r="R28" s="43">
        <f t="shared" si="0"/>
        <v>8</v>
      </c>
      <c r="S28" s="44">
        <f>R28/Q11*100</f>
        <v>80</v>
      </c>
      <c r="T28" s="35" t="str">
        <f t="shared" si="1"/>
        <v>Pengayaan</v>
      </c>
      <c r="U28" s="94">
        <v>70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43">
        <f t="shared" si="2"/>
        <v>0</v>
      </c>
      <c r="AH28" s="44">
        <f>AG28/AF11*100</f>
        <v>0</v>
      </c>
      <c r="AI28" s="35" t="str">
        <f>IFERROR(IF(AH28&lt;U28,"Perbaikan",IF(AH28&gt;=U28,"Pengayaan","")),"")</f>
        <v>Perbaikan</v>
      </c>
      <c r="AJ28" s="32"/>
      <c r="AK28" s="33"/>
      <c r="AL28" s="70">
        <v>70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3">
        <f t="shared" si="4"/>
        <v>0</v>
      </c>
      <c r="AY28" s="44">
        <f>AX28/AW11*100</f>
        <v>0</v>
      </c>
      <c r="AZ28" s="35" t="str">
        <f t="shared" si="5"/>
        <v>Perbaiakan</v>
      </c>
      <c r="BA28" s="68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43">
        <f t="shared" si="6"/>
        <v>0</v>
      </c>
      <c r="BN28" s="44">
        <f>BM28/BL11*100</f>
        <v>0</v>
      </c>
      <c r="BO28" s="35" t="str">
        <f t="shared" si="7"/>
        <v>Pengayaan</v>
      </c>
      <c r="BP28" s="32"/>
      <c r="BQ28" s="33"/>
      <c r="BR28" s="70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43">
        <f t="shared" si="8"/>
        <v>0</v>
      </c>
      <c r="CE28" s="44">
        <f>CD28/CC11*100</f>
        <v>0</v>
      </c>
      <c r="CF28" s="35" t="str">
        <f t="shared" si="9"/>
        <v>Pengayaan</v>
      </c>
      <c r="CG28" s="68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43">
        <f t="shared" si="10"/>
        <v>0</v>
      </c>
      <c r="CT28" s="44">
        <f>CS28/CR11*100</f>
        <v>0</v>
      </c>
      <c r="CU28" s="35" t="str">
        <f t="shared" si="11"/>
        <v>Pengayaan</v>
      </c>
    </row>
    <row r="29" spans="1:99" ht="15" customHeight="1" x14ac:dyDescent="0.35">
      <c r="A29" s="49">
        <v>18</v>
      </c>
      <c r="B29" s="105" t="s">
        <v>221</v>
      </c>
      <c r="C29" s="106" t="s">
        <v>192</v>
      </c>
      <c r="D29" s="31"/>
      <c r="E29" s="36"/>
      <c r="F29" s="70">
        <v>70</v>
      </c>
      <c r="G29" s="50">
        <v>1</v>
      </c>
      <c r="H29" s="50">
        <v>2</v>
      </c>
      <c r="I29" s="50">
        <v>2</v>
      </c>
      <c r="J29" s="50">
        <v>2</v>
      </c>
      <c r="K29" s="50">
        <v>2</v>
      </c>
      <c r="L29" s="50"/>
      <c r="M29" s="50"/>
      <c r="N29" s="50"/>
      <c r="O29" s="50"/>
      <c r="P29" s="50"/>
      <c r="Q29" s="2"/>
      <c r="R29" s="43">
        <f t="shared" si="0"/>
        <v>9</v>
      </c>
      <c r="S29" s="44">
        <f>R29/Q11*100</f>
        <v>90</v>
      </c>
      <c r="T29" s="35" t="str">
        <f>IFERROR(IF(S29&lt;F29,"Perbaikan",IF(S29&gt;=F29,"Pengayaan","")),"")</f>
        <v>Pengayaan</v>
      </c>
      <c r="U29" s="94">
        <v>70</v>
      </c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43">
        <f t="shared" si="2"/>
        <v>0</v>
      </c>
      <c r="AH29" s="44">
        <f>AG29/AF11*100</f>
        <v>0</v>
      </c>
      <c r="AI29" s="35" t="str">
        <f>IFERROR(IF(AH29&lt;U29,"Perbaikan",IF(AH29&gt;=U29,"Pengayaan","")),"")</f>
        <v>Perbaikan</v>
      </c>
      <c r="AJ29" s="32"/>
      <c r="AK29" s="33"/>
      <c r="AL29" s="70">
        <v>70</v>
      </c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2"/>
      <c r="AX29" s="43">
        <f t="shared" si="4"/>
        <v>0</v>
      </c>
      <c r="AY29" s="44">
        <f>AX29/AW11*100</f>
        <v>0</v>
      </c>
      <c r="AZ29" s="35" t="str">
        <f t="shared" si="5"/>
        <v>Perbaiakan</v>
      </c>
      <c r="BA29" s="67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43">
        <f t="shared" si="6"/>
        <v>0</v>
      </c>
      <c r="BN29" s="44">
        <f>BM29/BL11*100</f>
        <v>0</v>
      </c>
      <c r="BO29" s="35" t="str">
        <f t="shared" si="7"/>
        <v>Pengayaan</v>
      </c>
      <c r="BP29" s="32"/>
      <c r="BQ29" s="33"/>
      <c r="BR29" s="7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2"/>
      <c r="CD29" s="43">
        <f t="shared" si="8"/>
        <v>0</v>
      </c>
      <c r="CE29" s="44">
        <f>CD29/CC11*100</f>
        <v>0</v>
      </c>
      <c r="CF29" s="35" t="str">
        <f t="shared" si="9"/>
        <v>Pengayaan</v>
      </c>
      <c r="CG29" s="67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43">
        <f t="shared" si="10"/>
        <v>0</v>
      </c>
      <c r="CT29" s="44">
        <f>CS29/CR11*100</f>
        <v>0</v>
      </c>
      <c r="CU29" s="35" t="str">
        <f t="shared" si="11"/>
        <v>Pengayaan</v>
      </c>
    </row>
    <row r="30" spans="1:99" ht="15" customHeight="1" x14ac:dyDescent="0.35">
      <c r="A30" s="45">
        <v>19</v>
      </c>
      <c r="B30" s="105" t="s">
        <v>222</v>
      </c>
      <c r="C30" s="106" t="s">
        <v>193</v>
      </c>
      <c r="D30" s="31"/>
      <c r="E30" s="36"/>
      <c r="F30" s="70">
        <v>70</v>
      </c>
      <c r="G30" s="2">
        <v>1</v>
      </c>
      <c r="H30" s="2">
        <v>0</v>
      </c>
      <c r="I30" s="2">
        <v>2</v>
      </c>
      <c r="J30" s="2">
        <v>2</v>
      </c>
      <c r="K30" s="2">
        <v>2</v>
      </c>
      <c r="L30" s="48"/>
      <c r="M30" s="48"/>
      <c r="N30" s="48"/>
      <c r="O30" s="48"/>
      <c r="P30" s="48"/>
      <c r="Q30" s="2"/>
      <c r="R30" s="43">
        <f t="shared" si="0"/>
        <v>7</v>
      </c>
      <c r="S30" s="44">
        <f>R30/Q11*100</f>
        <v>70</v>
      </c>
      <c r="T30" s="35" t="str">
        <f t="shared" si="1"/>
        <v>Pengayaan</v>
      </c>
      <c r="U30" s="94">
        <v>70</v>
      </c>
      <c r="V30" s="2"/>
      <c r="W30" s="2"/>
      <c r="X30" s="2"/>
      <c r="Y30" s="2"/>
      <c r="Z30" s="2"/>
      <c r="AA30" s="48"/>
      <c r="AB30" s="48"/>
      <c r="AC30" s="48"/>
      <c r="AD30" s="48"/>
      <c r="AE30" s="48"/>
      <c r="AF30" s="48"/>
      <c r="AG30" s="43">
        <f t="shared" si="2"/>
        <v>0</v>
      </c>
      <c r="AH30" s="44">
        <f>AG30/AF11*100</f>
        <v>0</v>
      </c>
      <c r="AI30" s="35" t="str">
        <f>IFERROR(IF(AH30&lt;U30,"Perbaikan",IF(AH30&gt;=U30,"Pengayaan","")),"")</f>
        <v>Perbaikan</v>
      </c>
      <c r="AJ30" s="32"/>
      <c r="AK30" s="33"/>
      <c r="AL30" s="70">
        <v>70</v>
      </c>
      <c r="AM30" s="2"/>
      <c r="AN30" s="2"/>
      <c r="AO30" s="2"/>
      <c r="AP30" s="2"/>
      <c r="AQ30" s="2"/>
      <c r="AR30" s="48"/>
      <c r="AS30" s="48"/>
      <c r="AT30" s="48"/>
      <c r="AU30" s="48"/>
      <c r="AV30" s="48"/>
      <c r="AW30" s="2"/>
      <c r="AX30" s="43">
        <f t="shared" si="4"/>
        <v>0</v>
      </c>
      <c r="AY30" s="44">
        <f>AX30/AW11*100</f>
        <v>0</v>
      </c>
      <c r="AZ30" s="35" t="str">
        <f t="shared" si="5"/>
        <v>Perbaiakan</v>
      </c>
      <c r="BA30" s="69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3">
        <f t="shared" si="6"/>
        <v>0</v>
      </c>
      <c r="BN30" s="44">
        <f>BM30/BL11*100</f>
        <v>0</v>
      </c>
      <c r="BO30" s="35" t="str">
        <f t="shared" si="7"/>
        <v>Pengayaan</v>
      </c>
      <c r="BP30" s="32"/>
      <c r="BQ30" s="33"/>
      <c r="BR30" s="70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2"/>
      <c r="CD30" s="43">
        <f t="shared" si="8"/>
        <v>0</v>
      </c>
      <c r="CE30" s="44">
        <f>CD30/CC11*100</f>
        <v>0</v>
      </c>
      <c r="CF30" s="35" t="str">
        <f t="shared" si="9"/>
        <v>Pengayaan</v>
      </c>
      <c r="CG30" s="69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3">
        <f t="shared" si="10"/>
        <v>0</v>
      </c>
      <c r="CT30" s="44">
        <f>CS30/CR11*100</f>
        <v>0</v>
      </c>
      <c r="CU30" s="35" t="str">
        <f t="shared" si="11"/>
        <v>Pengayaan</v>
      </c>
    </row>
    <row r="31" spans="1:99" ht="15" customHeight="1" x14ac:dyDescent="0.35">
      <c r="A31" s="45">
        <v>20</v>
      </c>
      <c r="B31" s="105" t="s">
        <v>223</v>
      </c>
      <c r="C31" s="106" t="s">
        <v>194</v>
      </c>
      <c r="D31" s="31"/>
      <c r="E31" s="36"/>
      <c r="F31" s="70">
        <v>70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/>
      <c r="M31" s="2"/>
      <c r="N31" s="2"/>
      <c r="O31" s="2"/>
      <c r="P31" s="2"/>
      <c r="Q31" s="2"/>
      <c r="R31" s="43">
        <f t="shared" si="0"/>
        <v>10</v>
      </c>
      <c r="S31" s="44">
        <f>R31/Q11*100</f>
        <v>100</v>
      </c>
      <c r="T31" s="35" t="str">
        <f>IFERROR(IF(S31&lt;F31,"Perbaikan",IF(S31&gt;=F31,"Pengayaan","")),"")</f>
        <v>Pengayaan</v>
      </c>
      <c r="U31" s="94">
        <v>70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43">
        <f t="shared" si="2"/>
        <v>0</v>
      </c>
      <c r="AH31" s="44">
        <f>AG31/AF11*100</f>
        <v>0</v>
      </c>
      <c r="AI31" s="35" t="str">
        <f t="shared" si="3"/>
        <v>Perbaiakan</v>
      </c>
      <c r="AJ31" s="32"/>
      <c r="AK31" s="33"/>
      <c r="AL31" s="70">
        <v>70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3">
        <f t="shared" si="4"/>
        <v>0</v>
      </c>
      <c r="AY31" s="44">
        <f>AX31/AW11*100</f>
        <v>0</v>
      </c>
      <c r="AZ31" s="35" t="str">
        <f t="shared" si="5"/>
        <v>Perbaiakan</v>
      </c>
      <c r="BA31" s="68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43">
        <f t="shared" si="6"/>
        <v>0</v>
      </c>
      <c r="BN31" s="44">
        <f>BM31/BL11*100</f>
        <v>0</v>
      </c>
      <c r="BO31" s="35" t="str">
        <f t="shared" si="7"/>
        <v>Pengayaan</v>
      </c>
      <c r="BP31" s="32"/>
      <c r="BQ31" s="33"/>
      <c r="BR31" s="70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43">
        <f t="shared" si="8"/>
        <v>0</v>
      </c>
      <c r="CE31" s="44">
        <f>CD31/CC11*100</f>
        <v>0</v>
      </c>
      <c r="CF31" s="35" t="str">
        <f t="shared" si="9"/>
        <v>Pengayaan</v>
      </c>
      <c r="CG31" s="68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43">
        <f t="shared" si="10"/>
        <v>0</v>
      </c>
      <c r="CT31" s="44">
        <f>CS31/CR11*100</f>
        <v>0</v>
      </c>
      <c r="CU31" s="35" t="str">
        <f t="shared" si="11"/>
        <v>Pengayaan</v>
      </c>
    </row>
    <row r="32" spans="1:99" ht="15" customHeight="1" x14ac:dyDescent="0.35">
      <c r="A32" s="45">
        <v>21</v>
      </c>
      <c r="B32" s="105" t="s">
        <v>224</v>
      </c>
      <c r="C32" s="106" t="s">
        <v>195</v>
      </c>
      <c r="D32" s="31"/>
      <c r="E32" s="36"/>
      <c r="F32" s="70">
        <v>70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/>
      <c r="M32" s="2"/>
      <c r="N32" s="2"/>
      <c r="O32" s="2"/>
      <c r="P32" s="2"/>
      <c r="Q32" s="2"/>
      <c r="R32" s="43">
        <f t="shared" si="0"/>
        <v>10</v>
      </c>
      <c r="S32" s="44">
        <f>R32/Q11*100</f>
        <v>100</v>
      </c>
      <c r="T32" s="35" t="str">
        <f>IFERROR(IF(S32&lt;F32,"Perbaikan",IF(S32&gt;=F32,"Pengayaan","")),"")</f>
        <v>Pengayaan</v>
      </c>
      <c r="U32" s="94">
        <v>70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43">
        <f t="shared" si="2"/>
        <v>0</v>
      </c>
      <c r="AH32" s="44">
        <f>AG32/AF11*100</f>
        <v>0</v>
      </c>
      <c r="AI32" s="35" t="str">
        <f t="shared" si="3"/>
        <v>Perbaiakan</v>
      </c>
      <c r="AJ32" s="32"/>
      <c r="AK32" s="33"/>
      <c r="AL32" s="2">
        <v>70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3">
        <f t="shared" si="4"/>
        <v>0</v>
      </c>
      <c r="AY32" s="44">
        <f>AX32/AW11*100</f>
        <v>0</v>
      </c>
      <c r="AZ32" s="35" t="str">
        <f t="shared" si="5"/>
        <v>Perbaiakan</v>
      </c>
      <c r="BA32" s="68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43">
        <f t="shared" si="6"/>
        <v>0</v>
      </c>
      <c r="BN32" s="44">
        <f>BM32/BL11*100</f>
        <v>0</v>
      </c>
      <c r="BO32" s="35" t="str">
        <f t="shared" si="7"/>
        <v>Pengayaan</v>
      </c>
      <c r="BP32" s="32"/>
      <c r="BQ32" s="33"/>
      <c r="BR32" s="70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43">
        <f t="shared" si="8"/>
        <v>0</v>
      </c>
      <c r="CE32" s="44">
        <f>CD32/CC11*100</f>
        <v>0</v>
      </c>
      <c r="CF32" s="35" t="str">
        <f t="shared" si="9"/>
        <v>Pengayaan</v>
      </c>
      <c r="CG32" s="68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43">
        <f t="shared" si="10"/>
        <v>0</v>
      </c>
      <c r="CT32" s="44">
        <f>CS32/CR11*100</f>
        <v>0</v>
      </c>
      <c r="CU32" s="35" t="str">
        <f t="shared" si="11"/>
        <v>Pengayaan</v>
      </c>
    </row>
    <row r="33" spans="1:103" ht="15" customHeight="1" x14ac:dyDescent="0.35">
      <c r="A33" s="46">
        <v>22</v>
      </c>
      <c r="B33" s="105" t="s">
        <v>225</v>
      </c>
      <c r="C33" s="106" t="s">
        <v>196</v>
      </c>
      <c r="D33" s="31"/>
      <c r="E33" s="36"/>
      <c r="F33" s="70">
        <v>70</v>
      </c>
      <c r="G33" s="21">
        <v>0</v>
      </c>
      <c r="H33" s="21">
        <v>1</v>
      </c>
      <c r="I33" s="21">
        <v>2</v>
      </c>
      <c r="J33" s="21">
        <v>2</v>
      </c>
      <c r="K33" s="21">
        <v>2</v>
      </c>
      <c r="L33" s="21"/>
      <c r="M33" s="21"/>
      <c r="N33" s="21"/>
      <c r="O33" s="21"/>
      <c r="P33" s="21"/>
      <c r="Q33" s="2"/>
      <c r="R33" s="43">
        <f t="shared" si="0"/>
        <v>7</v>
      </c>
      <c r="S33" s="44">
        <f>R33/Q11*100</f>
        <v>70</v>
      </c>
      <c r="T33" s="35" t="str">
        <f t="shared" si="1"/>
        <v>Pengayaan</v>
      </c>
      <c r="U33" s="94">
        <v>70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43">
        <f t="shared" si="2"/>
        <v>0</v>
      </c>
      <c r="AH33" s="44">
        <f>AG33/AF11*100</f>
        <v>0</v>
      </c>
      <c r="AI33" s="35" t="str">
        <f>IFERROR(IF(AH33&lt;U33,"Perbaikan",IF(AH33&gt;=U33,"Pengayaan","")),"")</f>
        <v>Perbaikan</v>
      </c>
      <c r="AJ33" s="32"/>
      <c r="AK33" s="33"/>
      <c r="AL33" s="70">
        <v>70</v>
      </c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"/>
      <c r="AX33" s="43">
        <f t="shared" si="4"/>
        <v>0</v>
      </c>
      <c r="AY33" s="44">
        <f>AX33/AW11*100</f>
        <v>0</v>
      </c>
      <c r="AZ33" s="35" t="str">
        <f t="shared" si="5"/>
        <v>Perbaiakan</v>
      </c>
      <c r="BA33" s="68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43">
        <f t="shared" si="6"/>
        <v>0</v>
      </c>
      <c r="BN33" s="44">
        <f>BM33/BL11*100</f>
        <v>0</v>
      </c>
      <c r="BO33" s="35" t="str">
        <f t="shared" si="7"/>
        <v>Pengayaan</v>
      </c>
      <c r="BP33" s="32"/>
      <c r="BQ33" s="33"/>
      <c r="BR33" s="70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"/>
      <c r="CD33" s="43">
        <f t="shared" si="8"/>
        <v>0</v>
      </c>
      <c r="CE33" s="44">
        <f>CD33/CC11*100</f>
        <v>0</v>
      </c>
      <c r="CF33" s="35" t="str">
        <f t="shared" si="9"/>
        <v>Pengayaan</v>
      </c>
      <c r="CG33" s="68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43">
        <f t="shared" si="10"/>
        <v>0</v>
      </c>
      <c r="CT33" s="44">
        <f>CS33/CR11*100</f>
        <v>0</v>
      </c>
      <c r="CU33" s="35" t="str">
        <f t="shared" si="11"/>
        <v>Pengayaan</v>
      </c>
    </row>
    <row r="34" spans="1:103" ht="15" customHeight="1" x14ac:dyDescent="0.35">
      <c r="A34" s="45">
        <v>23</v>
      </c>
      <c r="B34" s="105" t="s">
        <v>226</v>
      </c>
      <c r="C34" s="106" t="s">
        <v>197</v>
      </c>
      <c r="D34" s="31"/>
      <c r="E34" s="36"/>
      <c r="F34" s="70">
        <v>70</v>
      </c>
      <c r="G34" s="2">
        <v>2</v>
      </c>
      <c r="H34" s="2">
        <v>0</v>
      </c>
      <c r="I34" s="2">
        <v>2</v>
      </c>
      <c r="J34" s="2">
        <v>2</v>
      </c>
      <c r="K34" s="2">
        <v>2</v>
      </c>
      <c r="L34" s="2"/>
      <c r="M34" s="2"/>
      <c r="N34" s="2"/>
      <c r="O34" s="2"/>
      <c r="P34" s="2"/>
      <c r="Q34" s="2"/>
      <c r="R34" s="43">
        <f t="shared" si="0"/>
        <v>8</v>
      </c>
      <c r="S34" s="44">
        <f>R34/Q11*100</f>
        <v>80</v>
      </c>
      <c r="T34" s="35" t="str">
        <f t="shared" si="1"/>
        <v>Pengayaan</v>
      </c>
      <c r="U34" s="94">
        <v>70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43">
        <f t="shared" si="2"/>
        <v>0</v>
      </c>
      <c r="AH34" s="44">
        <f>AG34/AF11*100</f>
        <v>0</v>
      </c>
      <c r="AI34" s="35" t="str">
        <f t="shared" si="3"/>
        <v>Perbaiakan</v>
      </c>
      <c r="AJ34" s="32"/>
      <c r="AK34" s="33"/>
      <c r="AL34" s="70">
        <v>70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3">
        <f t="shared" si="4"/>
        <v>0</v>
      </c>
      <c r="AY34" s="44">
        <f>AX34/AW11*100</f>
        <v>0</v>
      </c>
      <c r="AZ34" s="35" t="str">
        <f t="shared" si="5"/>
        <v>Perbaiakan</v>
      </c>
      <c r="BA34" s="68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43">
        <f t="shared" si="6"/>
        <v>0</v>
      </c>
      <c r="BN34" s="44">
        <f>BM34/BL11*100</f>
        <v>0</v>
      </c>
      <c r="BO34" s="35" t="str">
        <f t="shared" si="7"/>
        <v>Pengayaan</v>
      </c>
      <c r="BP34" s="32"/>
      <c r="BQ34" s="33"/>
      <c r="BR34" s="70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43">
        <f t="shared" si="8"/>
        <v>0</v>
      </c>
      <c r="CE34" s="44">
        <f>CD34/CC11*100</f>
        <v>0</v>
      </c>
      <c r="CF34" s="35" t="str">
        <f t="shared" si="9"/>
        <v>Pengayaan</v>
      </c>
      <c r="CG34" s="68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43">
        <f t="shared" si="10"/>
        <v>0</v>
      </c>
      <c r="CT34" s="44">
        <f>CS34/CR11*100</f>
        <v>0</v>
      </c>
      <c r="CU34" s="35" t="str">
        <f t="shared" si="11"/>
        <v>Pengayaan</v>
      </c>
    </row>
    <row r="35" spans="1:103" ht="15" customHeight="1" x14ac:dyDescent="0.35">
      <c r="A35" s="51">
        <v>24</v>
      </c>
      <c r="B35" s="105" t="s">
        <v>227</v>
      </c>
      <c r="C35" s="106" t="s">
        <v>198</v>
      </c>
      <c r="D35" s="31"/>
      <c r="E35" s="36"/>
      <c r="F35" s="70">
        <v>70</v>
      </c>
      <c r="G35" s="52">
        <v>2</v>
      </c>
      <c r="H35" s="52">
        <v>2</v>
      </c>
      <c r="I35" s="52">
        <v>2</v>
      </c>
      <c r="J35" s="52">
        <v>2</v>
      </c>
      <c r="K35" s="52">
        <v>2</v>
      </c>
      <c r="L35" s="52"/>
      <c r="M35" s="52"/>
      <c r="N35" s="52"/>
      <c r="O35" s="52"/>
      <c r="P35" s="52"/>
      <c r="Q35" s="2"/>
      <c r="R35" s="43">
        <f t="shared" si="0"/>
        <v>10</v>
      </c>
      <c r="S35" s="44">
        <f>R35/Q11*100</f>
        <v>100</v>
      </c>
      <c r="T35" s="35" t="str">
        <f>IFERROR(IF(S35&lt;F35,"Perbaikan",IF(S35&gt;=F35,"Pengayaan","")),"")</f>
        <v>Pengayaan</v>
      </c>
      <c r="U35" s="94">
        <v>70</v>
      </c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43">
        <f t="shared" si="2"/>
        <v>0</v>
      </c>
      <c r="AH35" s="44">
        <f>AG35/AF11*100</f>
        <v>0</v>
      </c>
      <c r="AI35" s="35" t="str">
        <f t="shared" si="3"/>
        <v>Perbaiakan</v>
      </c>
      <c r="AJ35" s="32"/>
      <c r="AK35" s="33"/>
      <c r="AL35" s="70">
        <v>70</v>
      </c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2"/>
      <c r="AX35" s="43">
        <f t="shared" si="4"/>
        <v>0</v>
      </c>
      <c r="AY35" s="44">
        <f>AX35/AW11*100</f>
        <v>0</v>
      </c>
      <c r="AZ35" s="35" t="str">
        <f t="shared" si="5"/>
        <v>Perbaiakan</v>
      </c>
      <c r="BA35" s="69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3">
        <f t="shared" si="6"/>
        <v>0</v>
      </c>
      <c r="BN35" s="44">
        <f>BM35/BL11*100</f>
        <v>0</v>
      </c>
      <c r="BO35" s="35" t="str">
        <f t="shared" si="7"/>
        <v>Pengayaan</v>
      </c>
      <c r="BP35" s="32"/>
      <c r="BQ35" s="33"/>
      <c r="BR35" s="70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2"/>
      <c r="CD35" s="43">
        <f t="shared" si="8"/>
        <v>0</v>
      </c>
      <c r="CE35" s="44">
        <f>CD35/CC11*100</f>
        <v>0</v>
      </c>
      <c r="CF35" s="35" t="str">
        <f t="shared" si="9"/>
        <v>Pengayaan</v>
      </c>
      <c r="CG35" s="69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43">
        <f t="shared" si="10"/>
        <v>0</v>
      </c>
      <c r="CT35" s="44">
        <f>CS35/CR11*100</f>
        <v>0</v>
      </c>
      <c r="CU35" s="35" t="str">
        <f t="shared" si="11"/>
        <v>Pengayaan</v>
      </c>
    </row>
    <row r="36" spans="1:103" ht="15" customHeight="1" x14ac:dyDescent="0.35">
      <c r="A36" s="45">
        <v>25</v>
      </c>
      <c r="B36" s="105" t="s">
        <v>228</v>
      </c>
      <c r="C36" s="106" t="s">
        <v>199</v>
      </c>
      <c r="D36" s="31"/>
      <c r="E36" s="36"/>
      <c r="F36" s="70">
        <v>70</v>
      </c>
      <c r="G36" s="2">
        <v>2</v>
      </c>
      <c r="H36" s="2">
        <v>2</v>
      </c>
      <c r="I36" s="2">
        <v>2</v>
      </c>
      <c r="J36" s="2">
        <v>0</v>
      </c>
      <c r="K36" s="2">
        <v>2</v>
      </c>
      <c r="L36" s="2"/>
      <c r="M36" s="2"/>
      <c r="N36" s="2"/>
      <c r="O36" s="2"/>
      <c r="P36" s="2"/>
      <c r="Q36" s="2"/>
      <c r="R36" s="43">
        <f t="shared" si="0"/>
        <v>8</v>
      </c>
      <c r="S36" s="44">
        <f>R36/Q11*100</f>
        <v>80</v>
      </c>
      <c r="T36" s="35" t="str">
        <f t="shared" si="1"/>
        <v>Pengayaan</v>
      </c>
      <c r="U36" s="94">
        <v>70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43">
        <f t="shared" si="2"/>
        <v>0</v>
      </c>
      <c r="AH36" s="44">
        <f>AG36/AF11*100</f>
        <v>0</v>
      </c>
      <c r="AI36" s="35" t="str">
        <f t="shared" si="3"/>
        <v>Perbaiakan</v>
      </c>
      <c r="AJ36" s="32"/>
      <c r="AK36" s="33"/>
      <c r="AL36" s="70">
        <v>70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3">
        <f t="shared" si="4"/>
        <v>0</v>
      </c>
      <c r="AY36" s="44">
        <f>AX36/AW11*100</f>
        <v>0</v>
      </c>
      <c r="AZ36" s="35" t="str">
        <f t="shared" si="5"/>
        <v>Perbaiakan</v>
      </c>
      <c r="BA36" s="68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43">
        <f t="shared" si="6"/>
        <v>0</v>
      </c>
      <c r="BN36" s="44">
        <f>BM36/BL11*100</f>
        <v>0</v>
      </c>
      <c r="BO36" s="35" t="str">
        <f t="shared" si="7"/>
        <v>Pengayaan</v>
      </c>
      <c r="BP36" s="32"/>
      <c r="BQ36" s="33"/>
      <c r="BR36" s="70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43">
        <f t="shared" si="8"/>
        <v>0</v>
      </c>
      <c r="CE36" s="44">
        <f>CD36/CC11*100</f>
        <v>0</v>
      </c>
      <c r="CF36" s="35" t="str">
        <f t="shared" si="9"/>
        <v>Pengayaan</v>
      </c>
      <c r="CG36" s="68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43">
        <f t="shared" si="10"/>
        <v>0</v>
      </c>
      <c r="CT36" s="44">
        <f>CS36/CR11*100</f>
        <v>0</v>
      </c>
      <c r="CU36" s="35" t="str">
        <f t="shared" si="11"/>
        <v>Pengayaan</v>
      </c>
    </row>
    <row r="37" spans="1:103" ht="15" customHeight="1" x14ac:dyDescent="0.35">
      <c r="A37" s="46">
        <v>26</v>
      </c>
      <c r="B37" s="105" t="s">
        <v>229</v>
      </c>
      <c r="C37" s="106" t="s">
        <v>200</v>
      </c>
      <c r="D37" s="31"/>
      <c r="E37" s="36"/>
      <c r="F37" s="70">
        <v>70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/>
      <c r="M37" s="2"/>
      <c r="N37" s="2"/>
      <c r="O37" s="2"/>
      <c r="P37" s="2"/>
      <c r="Q37" s="2"/>
      <c r="R37" s="43">
        <f t="shared" si="0"/>
        <v>10</v>
      </c>
      <c r="S37" s="44">
        <f>R37/Q11*100</f>
        <v>100</v>
      </c>
      <c r="T37" s="35" t="str">
        <f t="shared" si="1"/>
        <v>Pengayaan</v>
      </c>
      <c r="U37" s="94">
        <v>70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43">
        <f t="shared" si="2"/>
        <v>0</v>
      </c>
      <c r="AH37" s="44">
        <f>AG37/AF11*100</f>
        <v>0</v>
      </c>
      <c r="AI37" s="35" t="str">
        <f t="shared" si="3"/>
        <v>Perbaiakan</v>
      </c>
      <c r="AJ37" s="32"/>
      <c r="AK37" s="33"/>
      <c r="AL37" s="70">
        <v>70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3">
        <f t="shared" si="4"/>
        <v>0</v>
      </c>
      <c r="AY37" s="44">
        <f>AX37/AW11*100</f>
        <v>0</v>
      </c>
      <c r="AZ37" s="35" t="str">
        <f t="shared" si="5"/>
        <v>Perbaiakan</v>
      </c>
      <c r="BA37" s="68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43">
        <f t="shared" si="6"/>
        <v>0</v>
      </c>
      <c r="BN37" s="44">
        <f>BM37/BL11*100</f>
        <v>0</v>
      </c>
      <c r="BO37" s="35" t="str">
        <f t="shared" si="7"/>
        <v>Pengayaan</v>
      </c>
      <c r="BP37" s="32"/>
      <c r="BQ37" s="33"/>
      <c r="BR37" s="70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43">
        <f t="shared" si="8"/>
        <v>0</v>
      </c>
      <c r="CE37" s="44">
        <f>CD37/CC11*100</f>
        <v>0</v>
      </c>
      <c r="CF37" s="35" t="str">
        <f t="shared" si="9"/>
        <v>Pengayaan</v>
      </c>
      <c r="CG37" s="68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43">
        <f t="shared" si="10"/>
        <v>0</v>
      </c>
      <c r="CT37" s="44">
        <f>CS37/CR11*100</f>
        <v>0</v>
      </c>
      <c r="CU37" s="35" t="str">
        <f t="shared" si="11"/>
        <v>Pengayaan</v>
      </c>
    </row>
    <row r="38" spans="1:103" ht="15" customHeight="1" x14ac:dyDescent="0.35">
      <c r="A38" s="45">
        <v>27</v>
      </c>
      <c r="B38" s="105" t="s">
        <v>230</v>
      </c>
      <c r="C38" s="106" t="s">
        <v>201</v>
      </c>
      <c r="D38" s="31"/>
      <c r="E38" s="36"/>
      <c r="F38" s="70">
        <v>70</v>
      </c>
      <c r="G38" s="2">
        <v>0</v>
      </c>
      <c r="H38" s="2">
        <v>0</v>
      </c>
      <c r="I38" s="2">
        <v>2</v>
      </c>
      <c r="J38" s="2">
        <v>2</v>
      </c>
      <c r="K38" s="2">
        <v>2</v>
      </c>
      <c r="L38" s="2"/>
      <c r="M38" s="2"/>
      <c r="N38" s="2"/>
      <c r="O38" s="2"/>
      <c r="P38" s="2"/>
      <c r="Q38" s="2"/>
      <c r="R38" s="43">
        <f t="shared" si="0"/>
        <v>6</v>
      </c>
      <c r="S38" s="44">
        <f>R38/Q11*100</f>
        <v>60</v>
      </c>
      <c r="T38" s="35" t="str">
        <f>IFERROR(IF(S38&lt;F38,"Perbaikan",IF(S38&gt;=F38,"Pengayaan","")),"")</f>
        <v>Perbaikan</v>
      </c>
      <c r="U38" s="94">
        <v>70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43">
        <f t="shared" si="2"/>
        <v>0</v>
      </c>
      <c r="AH38" s="44">
        <f>AG38/AF11*100</f>
        <v>0</v>
      </c>
      <c r="AI38" s="35" t="str">
        <f t="shared" si="3"/>
        <v>Perbaiakan</v>
      </c>
      <c r="AJ38" s="32"/>
      <c r="AK38" s="33"/>
      <c r="AL38" s="70">
        <v>70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3">
        <f t="shared" si="4"/>
        <v>0</v>
      </c>
      <c r="AY38" s="44">
        <f>AX38/AW11*100</f>
        <v>0</v>
      </c>
      <c r="AZ38" s="35" t="str">
        <f>IFERROR(IF(AY38&lt;AL38,"Perbaikan",IF(AY38&gt;=AL38,"Pengayaan","")),"")</f>
        <v>Perbaikan</v>
      </c>
      <c r="BA38" s="68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43">
        <f t="shared" si="6"/>
        <v>0</v>
      </c>
      <c r="BN38" s="44">
        <f>BM38/BL11*100</f>
        <v>0</v>
      </c>
      <c r="BO38" s="35" t="str">
        <f t="shared" si="7"/>
        <v>Pengayaan</v>
      </c>
      <c r="BP38" s="32"/>
      <c r="BQ38" s="33"/>
      <c r="BR38" s="70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43">
        <f t="shared" si="8"/>
        <v>0</v>
      </c>
      <c r="CE38" s="44">
        <f>CD38/CC11*100</f>
        <v>0</v>
      </c>
      <c r="CF38" s="35" t="str">
        <f t="shared" si="9"/>
        <v>Pengayaan</v>
      </c>
      <c r="CG38" s="68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43">
        <f t="shared" si="10"/>
        <v>0</v>
      </c>
      <c r="CT38" s="44">
        <f>CS38/CR11*100</f>
        <v>0</v>
      </c>
      <c r="CU38" s="35" t="str">
        <f t="shared" si="11"/>
        <v>Pengayaan</v>
      </c>
    </row>
    <row r="39" spans="1:103" ht="15" customHeight="1" x14ac:dyDescent="0.35">
      <c r="A39" s="46">
        <v>28</v>
      </c>
      <c r="B39" s="105" t="s">
        <v>231</v>
      </c>
      <c r="C39" s="106" t="s">
        <v>202</v>
      </c>
      <c r="D39" s="31"/>
      <c r="E39" s="36"/>
      <c r="F39" s="70">
        <v>70</v>
      </c>
      <c r="G39" s="2">
        <v>0</v>
      </c>
      <c r="H39" s="2">
        <v>2</v>
      </c>
      <c r="I39" s="2">
        <v>2</v>
      </c>
      <c r="J39" s="2">
        <v>2</v>
      </c>
      <c r="K39" s="2">
        <v>2</v>
      </c>
      <c r="L39" s="2"/>
      <c r="M39" s="2"/>
      <c r="N39" s="2"/>
      <c r="O39" s="2"/>
      <c r="P39" s="2"/>
      <c r="Q39" s="2"/>
      <c r="R39" s="43">
        <f t="shared" si="0"/>
        <v>8</v>
      </c>
      <c r="S39" s="44">
        <f>R39/Q11*100</f>
        <v>80</v>
      </c>
      <c r="T39" s="35" t="str">
        <f t="shared" si="1"/>
        <v>Pengayaan</v>
      </c>
      <c r="U39" s="94">
        <v>70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43">
        <f t="shared" si="2"/>
        <v>0</v>
      </c>
      <c r="AH39" s="44">
        <f>AG39/AF11*100</f>
        <v>0</v>
      </c>
      <c r="AI39" s="35" t="str">
        <f t="shared" si="3"/>
        <v>Perbaiakan</v>
      </c>
      <c r="AJ39" s="32"/>
      <c r="AK39" s="33"/>
      <c r="AL39" s="70">
        <v>70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3">
        <f t="shared" si="4"/>
        <v>0</v>
      </c>
      <c r="AY39" s="44">
        <f>AX39/AW11*100</f>
        <v>0</v>
      </c>
      <c r="AZ39" s="35" t="str">
        <f t="shared" si="5"/>
        <v>Perbaiakan</v>
      </c>
      <c r="BA39" s="68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43">
        <f t="shared" si="6"/>
        <v>0</v>
      </c>
      <c r="BN39" s="44">
        <f>BM39/BL11*100</f>
        <v>0</v>
      </c>
      <c r="BO39" s="35" t="str">
        <f t="shared" si="7"/>
        <v>Pengayaan</v>
      </c>
      <c r="BP39" s="32"/>
      <c r="BQ39" s="33"/>
      <c r="BR39" s="70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43">
        <f t="shared" si="8"/>
        <v>0</v>
      </c>
      <c r="CE39" s="44">
        <f>CD39/CC11*100</f>
        <v>0</v>
      </c>
      <c r="CF39" s="35" t="str">
        <f t="shared" si="9"/>
        <v>Pengayaan</v>
      </c>
      <c r="CG39" s="68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43">
        <f t="shared" si="10"/>
        <v>0</v>
      </c>
      <c r="CT39" s="44">
        <f>CS39/CR11*100</f>
        <v>0</v>
      </c>
      <c r="CU39" s="35" t="str">
        <f t="shared" si="11"/>
        <v>Pengayaan</v>
      </c>
    </row>
    <row r="40" spans="1:103" ht="15" customHeight="1" x14ac:dyDescent="0.35">
      <c r="A40" s="45">
        <v>29</v>
      </c>
      <c r="B40" s="105" t="s">
        <v>232</v>
      </c>
      <c r="C40" s="106" t="s">
        <v>203</v>
      </c>
      <c r="D40" s="31"/>
      <c r="E40" s="36"/>
      <c r="F40" s="70">
        <v>70</v>
      </c>
      <c r="G40" s="2">
        <v>2</v>
      </c>
      <c r="H40" s="2">
        <v>2</v>
      </c>
      <c r="I40" s="2">
        <v>2</v>
      </c>
      <c r="J40" s="2">
        <v>2</v>
      </c>
      <c r="K40" s="2">
        <v>0</v>
      </c>
      <c r="L40" s="2"/>
      <c r="M40" s="2"/>
      <c r="N40" s="2"/>
      <c r="O40" s="2"/>
      <c r="P40" s="2"/>
      <c r="Q40" s="2"/>
      <c r="R40" s="43">
        <f t="shared" si="0"/>
        <v>8</v>
      </c>
      <c r="S40" s="44">
        <f>R40/Q11*100</f>
        <v>80</v>
      </c>
      <c r="T40" s="35" t="str">
        <f t="shared" si="1"/>
        <v>Pengayaan</v>
      </c>
      <c r="U40" s="94">
        <v>70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43">
        <f t="shared" si="2"/>
        <v>0</v>
      </c>
      <c r="AH40" s="44">
        <f>AG40/AF11*100</f>
        <v>0</v>
      </c>
      <c r="AI40" s="35" t="str">
        <f t="shared" si="3"/>
        <v>Perbaiakan</v>
      </c>
      <c r="AJ40" s="32"/>
      <c r="AK40" s="33"/>
      <c r="AL40" s="70">
        <v>70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3">
        <f t="shared" si="4"/>
        <v>0</v>
      </c>
      <c r="AY40" s="44">
        <f>AX40/AW11*100</f>
        <v>0</v>
      </c>
      <c r="AZ40" s="35" t="str">
        <f t="shared" si="5"/>
        <v>Perbaiakan</v>
      </c>
      <c r="BA40" s="68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43">
        <f t="shared" si="6"/>
        <v>0</v>
      </c>
      <c r="BN40" s="44">
        <f>BM40/BL11*100</f>
        <v>0</v>
      </c>
      <c r="BO40" s="35" t="str">
        <f t="shared" si="7"/>
        <v>Pengayaan</v>
      </c>
      <c r="BP40" s="32"/>
      <c r="BQ40" s="33"/>
      <c r="BR40" s="70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43">
        <f t="shared" si="8"/>
        <v>0</v>
      </c>
      <c r="CE40" s="44">
        <f>CD40/CC11*100</f>
        <v>0</v>
      </c>
      <c r="CF40" s="35" t="str">
        <f t="shared" si="9"/>
        <v>Pengayaan</v>
      </c>
      <c r="CG40" s="68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43">
        <f t="shared" si="10"/>
        <v>0</v>
      </c>
      <c r="CT40" s="44">
        <f>CS40/CR11*100</f>
        <v>0</v>
      </c>
      <c r="CU40" s="35" t="str">
        <f t="shared" si="11"/>
        <v>Pengayaan</v>
      </c>
    </row>
    <row r="41" spans="1:103" ht="15" customHeight="1" x14ac:dyDescent="0.35">
      <c r="A41" s="55"/>
      <c r="B41" s="55"/>
      <c r="C41" s="36"/>
      <c r="D41" s="36"/>
      <c r="E41" s="36"/>
      <c r="F41" s="36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56"/>
      <c r="S41" s="57"/>
      <c r="T41" s="58"/>
      <c r="U41" s="5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56"/>
      <c r="AH41" s="57"/>
      <c r="AI41" s="58"/>
      <c r="AJ41" s="58"/>
      <c r="AK41" s="58"/>
      <c r="AL41" s="36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56"/>
      <c r="AY41" s="57"/>
      <c r="AZ41" s="58"/>
      <c r="BA41" s="5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56"/>
      <c r="BN41" s="57"/>
      <c r="BO41" s="58"/>
      <c r="BR41" s="36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56"/>
      <c r="CE41" s="57"/>
      <c r="CF41" s="58"/>
      <c r="CG41" s="5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56"/>
      <c r="CT41" s="57"/>
      <c r="CU41" s="58"/>
    </row>
    <row r="42" spans="1:103" ht="15" customHeight="1" x14ac:dyDescent="0.35">
      <c r="A42" s="55"/>
      <c r="B42" s="55"/>
      <c r="C42" s="36"/>
      <c r="D42" s="36"/>
      <c r="E42" s="36"/>
      <c r="F42" s="36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56"/>
      <c r="S42" s="57"/>
      <c r="T42" s="58"/>
      <c r="U42" s="5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56"/>
      <c r="AH42" s="57"/>
      <c r="AI42" s="58"/>
      <c r="AJ42" s="58"/>
      <c r="AK42" s="58"/>
      <c r="AL42" s="36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56"/>
      <c r="AY42" s="57"/>
      <c r="AZ42" s="58"/>
      <c r="BA42" s="5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56"/>
      <c r="BN42" s="57"/>
      <c r="BO42" s="58"/>
      <c r="BR42" s="36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56"/>
      <c r="CE42" s="57"/>
      <c r="CF42" s="58"/>
      <c r="CG42" s="5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56"/>
      <c r="CT42" s="57"/>
      <c r="CU42" s="58"/>
    </row>
    <row r="43" spans="1:103" s="61" customFormat="1" ht="15" customHeight="1" x14ac:dyDescent="0.3">
      <c r="A43" s="59"/>
      <c r="B43" s="59"/>
      <c r="C43" s="59"/>
      <c r="D43" s="59"/>
      <c r="E43" s="59"/>
      <c r="F43" s="59"/>
      <c r="G43" s="59"/>
      <c r="H43" s="59" t="s">
        <v>11</v>
      </c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 t="s">
        <v>155</v>
      </c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 t="s">
        <v>233</v>
      </c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 t="str">
        <f>AB43</f>
        <v>Banjar,     Januari 2024</v>
      </c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>
        <f>AN43</f>
        <v>0</v>
      </c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 t="str">
        <f>BH43</f>
        <v>Banjar,     Januari 2024</v>
      </c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</row>
    <row r="44" spans="1:103" s="61" customFormat="1" ht="15" customHeight="1" x14ac:dyDescent="0.3">
      <c r="A44" s="59"/>
      <c r="B44" s="59"/>
      <c r="C44" s="59"/>
      <c r="D44" s="59"/>
      <c r="E44" s="59"/>
      <c r="F44" s="59"/>
      <c r="G44" s="59"/>
      <c r="H44" s="59" t="s">
        <v>156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 t="s">
        <v>79</v>
      </c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 t="s">
        <v>79</v>
      </c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 t="str">
        <f t="shared" ref="BH44:BH49" si="12">AB44</f>
        <v>Guru</v>
      </c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>
        <f t="shared" ref="BT44" si="13">AN44</f>
        <v>0</v>
      </c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 t="str">
        <f t="shared" ref="CN44" si="14">BH44</f>
        <v>Guru</v>
      </c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</row>
    <row r="45" spans="1:103" s="61" customFormat="1" ht="15" customHeight="1" x14ac:dyDescent="0.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</row>
    <row r="46" spans="1:103" s="61" customFormat="1" ht="15" customHeight="1" x14ac:dyDescent="0.3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</row>
    <row r="47" spans="1:103" s="61" customFormat="1" ht="15" customHeight="1" x14ac:dyDescent="0.3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</row>
    <row r="48" spans="1:103" s="61" customFormat="1" ht="15" customHeight="1" x14ac:dyDescent="0.3">
      <c r="A48" s="59"/>
      <c r="B48" s="59"/>
      <c r="C48" s="71"/>
      <c r="D48" s="71"/>
      <c r="E48" s="71"/>
      <c r="F48" s="71"/>
      <c r="G48" s="59"/>
      <c r="H48" s="71" t="s">
        <v>72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71" t="s">
        <v>157</v>
      </c>
      <c r="AC48" s="59"/>
      <c r="AD48" s="59"/>
      <c r="AE48" s="59"/>
      <c r="AF48" s="59"/>
      <c r="AG48" s="59"/>
      <c r="AH48" s="59"/>
      <c r="AI48" s="59"/>
      <c r="AJ48" s="59"/>
      <c r="AK48" s="59"/>
      <c r="AL48" s="71"/>
      <c r="AM48" s="71" t="s">
        <v>157</v>
      </c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59"/>
      <c r="BA48" s="59"/>
      <c r="BB48" s="59"/>
      <c r="BC48" s="59"/>
      <c r="BD48" s="59"/>
      <c r="BE48" s="59"/>
      <c r="BF48" s="59"/>
      <c r="BG48" s="59"/>
      <c r="BH48" s="71" t="str">
        <f t="shared" si="12"/>
        <v>ANISA NURBASARI, S.Pd.I</v>
      </c>
      <c r="BI48" s="59"/>
      <c r="BJ48" s="59"/>
      <c r="BK48" s="59"/>
      <c r="BL48" s="59"/>
      <c r="BM48" s="59"/>
      <c r="BN48" s="59"/>
      <c r="BO48" s="59"/>
      <c r="BP48" s="59"/>
      <c r="BQ48" s="59"/>
      <c r="BR48" s="71"/>
      <c r="BS48" s="59"/>
      <c r="BT48" s="71">
        <f t="shared" ref="BT48:BT49" si="15">AN48</f>
        <v>0</v>
      </c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71" t="str">
        <f t="shared" ref="CN48:CN49" si="16">BH48</f>
        <v>ANISA NURBASARI, S.Pd.I</v>
      </c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</row>
    <row r="49" spans="1:103" s="61" customFormat="1" ht="15" customHeight="1" x14ac:dyDescent="0.3">
      <c r="A49" s="59"/>
      <c r="B49" s="59"/>
      <c r="C49" s="60"/>
      <c r="D49" s="60"/>
      <c r="E49" s="60"/>
      <c r="F49" s="60"/>
      <c r="G49" s="59"/>
      <c r="H49" s="60" t="s">
        <v>73</v>
      </c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60" t="s">
        <v>158</v>
      </c>
      <c r="AC49" s="59"/>
      <c r="AD49" s="59"/>
      <c r="AE49" s="59"/>
      <c r="AF49" s="59"/>
      <c r="AG49" s="59"/>
      <c r="AH49" s="59"/>
      <c r="AI49" s="59"/>
      <c r="AJ49" s="59"/>
      <c r="AK49" s="59"/>
      <c r="AL49" s="60"/>
      <c r="AM49" s="60" t="s">
        <v>158</v>
      </c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59"/>
      <c r="BA49" s="59"/>
      <c r="BB49" s="59"/>
      <c r="BC49" s="59"/>
      <c r="BD49" s="59"/>
      <c r="BE49" s="59"/>
      <c r="BF49" s="59"/>
      <c r="BG49" s="59"/>
      <c r="BH49" s="60" t="str">
        <f t="shared" si="12"/>
        <v>NIP. 198702092019032004</v>
      </c>
      <c r="BI49" s="59"/>
      <c r="BJ49" s="59"/>
      <c r="BK49" s="59"/>
      <c r="BL49" s="59"/>
      <c r="BM49" s="59"/>
      <c r="BN49" s="59"/>
      <c r="BO49" s="59"/>
      <c r="BP49" s="59"/>
      <c r="BQ49" s="59"/>
      <c r="BR49" s="60"/>
      <c r="BS49" s="59"/>
      <c r="BT49" s="60">
        <f t="shared" si="15"/>
        <v>0</v>
      </c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60" t="str">
        <f t="shared" si="16"/>
        <v>NIP. 198702092019032004</v>
      </c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</row>
    <row r="50" spans="1:103" ht="15" customHeight="1" x14ac:dyDescent="0.35"/>
    <row r="51" spans="1:103" ht="15" customHeight="1" x14ac:dyDescent="0.35"/>
    <row r="52" spans="1:103" ht="15" customHeight="1" x14ac:dyDescent="0.35"/>
    <row r="53" spans="1:103" ht="14.4" customHeight="1" x14ac:dyDescent="0.35"/>
    <row r="54" spans="1:103" ht="14.4" customHeight="1" x14ac:dyDescent="0.35"/>
    <row r="55" spans="1:103" ht="14.4" customHeight="1" x14ac:dyDescent="0.35"/>
    <row r="56" spans="1:103" ht="14.4" customHeight="1" x14ac:dyDescent="0.35"/>
    <row r="57" spans="1:103" ht="14.4" customHeight="1" x14ac:dyDescent="0.35"/>
    <row r="58" spans="1:103" ht="14.4" customHeight="1" x14ac:dyDescent="0.35"/>
    <row r="59" spans="1:103" ht="14.4" customHeight="1" x14ac:dyDescent="0.35"/>
    <row r="60" spans="1:103" ht="14.4" customHeight="1" x14ac:dyDescent="0.35"/>
    <row r="61" spans="1:103" ht="14.4" customHeight="1" x14ac:dyDescent="0.35"/>
    <row r="62" spans="1:103" ht="14.4" customHeight="1" x14ac:dyDescent="0.35"/>
    <row r="63" spans="1:103" ht="14.4" customHeight="1" x14ac:dyDescent="0.35"/>
    <row r="64" spans="1:103" ht="14.4" customHeight="1" x14ac:dyDescent="0.35"/>
    <row r="65" ht="14.4" customHeight="1" x14ac:dyDescent="0.35"/>
    <row r="66" ht="14.4" customHeight="1" x14ac:dyDescent="0.35"/>
    <row r="67" ht="14.4" customHeight="1" x14ac:dyDescent="0.35"/>
    <row r="68" ht="14.4" customHeight="1" x14ac:dyDescent="0.35"/>
    <row r="69" ht="14.4" customHeight="1" x14ac:dyDescent="0.35"/>
    <row r="70" ht="14.4" customHeight="1" x14ac:dyDescent="0.35"/>
    <row r="71" ht="14.4" customHeight="1" x14ac:dyDescent="0.35"/>
    <row r="72" ht="14.4" customHeight="1" x14ac:dyDescent="0.35"/>
    <row r="73" ht="14.4" customHeight="1" x14ac:dyDescent="0.35"/>
    <row r="74" ht="14.4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45">
    <mergeCell ref="AZ9:AZ10"/>
    <mergeCell ref="BR8:CF8"/>
    <mergeCell ref="CG8:CU8"/>
    <mergeCell ref="BR9:BR11"/>
    <mergeCell ref="CG9:CG11"/>
    <mergeCell ref="BS10:CB10"/>
    <mergeCell ref="CH10:CQ10"/>
    <mergeCell ref="CD9:CD10"/>
    <mergeCell ref="CE9:CE10"/>
    <mergeCell ref="CF9:CF10"/>
    <mergeCell ref="CS9:CS10"/>
    <mergeCell ref="CT9:CT10"/>
    <mergeCell ref="CU9:CU10"/>
    <mergeCell ref="A8:A10"/>
    <mergeCell ref="B8:B10"/>
    <mergeCell ref="AL8:AZ8"/>
    <mergeCell ref="BA8:BO8"/>
    <mergeCell ref="AL9:AL11"/>
    <mergeCell ref="BA9:BA11"/>
    <mergeCell ref="AM10:AV10"/>
    <mergeCell ref="BB10:BK10"/>
    <mergeCell ref="R9:R10"/>
    <mergeCell ref="S9:S10"/>
    <mergeCell ref="T9:T10"/>
    <mergeCell ref="AG9:AG10"/>
    <mergeCell ref="AH9:AH10"/>
    <mergeCell ref="AI9:AI10"/>
    <mergeCell ref="AX9:AX10"/>
    <mergeCell ref="AY9:AY10"/>
    <mergeCell ref="C8:C10"/>
    <mergeCell ref="AM1:BO1"/>
    <mergeCell ref="AM2:BO2"/>
    <mergeCell ref="BS1:CU1"/>
    <mergeCell ref="BS2:CU2"/>
    <mergeCell ref="BM9:BM10"/>
    <mergeCell ref="BN9:BN10"/>
    <mergeCell ref="BO9:BO10"/>
    <mergeCell ref="G1:AI1"/>
    <mergeCell ref="G2:AI2"/>
    <mergeCell ref="F8:T8"/>
    <mergeCell ref="F9:F11"/>
    <mergeCell ref="G10:P10"/>
    <mergeCell ref="U8:AI8"/>
    <mergeCell ref="U9:U11"/>
    <mergeCell ref="V10:AE10"/>
  </mergeCells>
  <pageMargins left="0.62992125984251968" right="0.19685039370078741" top="0.74803149606299213" bottom="1.3385826771653544" header="0.31496062992125984" footer="0.31496062992125984"/>
  <pageSetup paperSize="14" scale="65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BBAC-7275-48F8-BA9F-FEFBD5C5975A}">
  <dimension ref="A1:BJ56"/>
  <sheetViews>
    <sheetView tabSelected="1" workbookViewId="0">
      <selection activeCell="F2" sqref="F2:AT2"/>
    </sheetView>
  </sheetViews>
  <sheetFormatPr defaultRowHeight="14.5" x14ac:dyDescent="0.35"/>
  <cols>
    <col min="1" max="1" width="4.08984375" customWidth="1"/>
    <col min="2" max="2" width="7.7265625" customWidth="1"/>
    <col min="3" max="3" width="21.6328125" customWidth="1"/>
    <col min="4" max="4" width="1.54296875" customWidth="1"/>
    <col min="5" max="5" width="0.6328125" customWidth="1"/>
    <col min="6" max="6" width="3.1796875" customWidth="1"/>
    <col min="7" max="41" width="2.54296875" customWidth="1"/>
    <col min="42" max="46" width="2.54296875" hidden="1" customWidth="1"/>
    <col min="47" max="47" width="1.1796875" customWidth="1"/>
    <col min="48" max="48" width="0.1796875" customWidth="1"/>
    <col min="49" max="58" width="2.54296875" hidden="1" customWidth="1"/>
    <col min="59" max="59" width="1" customWidth="1"/>
    <col min="60" max="60" width="3.6328125" customWidth="1"/>
    <col min="61" max="61" width="4.6328125" customWidth="1"/>
    <col min="62" max="62" width="12.54296875" customWidth="1"/>
    <col min="63" max="63" width="1.36328125" customWidth="1"/>
    <col min="64" max="64" width="2.6328125" customWidth="1"/>
  </cols>
  <sheetData>
    <row r="1" spans="1:62" ht="15" customHeight="1" x14ac:dyDescent="0.35">
      <c r="A1" s="60"/>
      <c r="B1" s="60"/>
      <c r="C1" s="60"/>
      <c r="D1" s="60"/>
      <c r="E1" s="60"/>
      <c r="F1" s="156" t="s">
        <v>289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60"/>
      <c r="AV1" s="60"/>
      <c r="AW1" s="157" t="str">
        <f>F1</f>
        <v>ANALISIS HASIL ASESMEN SUMATIF AKHIR SEMESTER</v>
      </c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</row>
    <row r="2" spans="1:62" ht="15" customHeight="1" x14ac:dyDescent="0.35">
      <c r="A2" s="62"/>
      <c r="B2" s="62"/>
      <c r="C2" s="62"/>
      <c r="D2" s="62"/>
      <c r="E2" s="62"/>
      <c r="F2" s="158" t="str">
        <f>'oke Lingk. 1'!G2</f>
        <v>TAHUN AJARAN 2025/2026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62"/>
      <c r="AV2" s="62"/>
      <c r="AW2" s="159" t="str">
        <f>F2</f>
        <v>TAHUN AJARAN 2025/2026</v>
      </c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</row>
    <row r="3" spans="1:62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</row>
    <row r="4" spans="1:62" ht="15" customHeight="1" x14ac:dyDescent="0.35">
      <c r="A4" s="1"/>
      <c r="B4" s="1"/>
      <c r="C4" s="1"/>
      <c r="D4" s="1"/>
      <c r="E4" s="1"/>
      <c r="F4" s="1"/>
      <c r="G4" s="1" t="s">
        <v>0</v>
      </c>
      <c r="H4" s="1"/>
      <c r="I4" s="1"/>
      <c r="J4" s="1"/>
      <c r="K4" s="1"/>
      <c r="L4" s="1"/>
      <c r="M4" s="1" t="s">
        <v>5</v>
      </c>
      <c r="N4" s="1" t="str">
        <f>'oke Lingk. 1'!R4</f>
        <v>I/2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s">
        <v>0</v>
      </c>
      <c r="AX4" s="1"/>
      <c r="AY4" s="1"/>
      <c r="AZ4" s="1"/>
      <c r="BA4" s="1"/>
      <c r="BB4" s="1"/>
      <c r="BC4" s="1" t="s">
        <v>5</v>
      </c>
      <c r="BD4" s="1" t="str">
        <f>N4</f>
        <v>I/2</v>
      </c>
      <c r="BE4" s="1"/>
      <c r="BF4" s="1"/>
      <c r="BG4" s="1"/>
      <c r="BH4" s="1"/>
      <c r="BI4" s="1"/>
      <c r="BJ4" s="1"/>
    </row>
    <row r="5" spans="1:62" ht="15" customHeight="1" x14ac:dyDescent="0.35">
      <c r="A5" s="1"/>
      <c r="B5" s="1"/>
      <c r="C5" s="1"/>
      <c r="D5" s="1"/>
      <c r="E5" s="1"/>
      <c r="F5" s="1"/>
      <c r="G5" s="1" t="s">
        <v>20</v>
      </c>
      <c r="H5" s="1"/>
      <c r="I5" s="1"/>
      <c r="J5" s="1"/>
      <c r="K5" s="1"/>
      <c r="L5" s="1"/>
      <c r="M5" s="1" t="s">
        <v>5</v>
      </c>
      <c r="N5" s="1" t="str">
        <f>'oke Lingk. 1'!N5</f>
        <v>PAI dan Budi Pekerti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s">
        <v>20</v>
      </c>
      <c r="AX5" s="1"/>
      <c r="AY5" s="1"/>
      <c r="AZ5" s="1"/>
      <c r="BA5" s="1"/>
      <c r="BB5" s="1"/>
      <c r="BC5" s="1" t="s">
        <v>5</v>
      </c>
      <c r="BD5" s="1" t="str">
        <f>N5</f>
        <v>PAI dan Budi Pekerti</v>
      </c>
      <c r="BE5" s="1"/>
      <c r="BF5" s="1"/>
      <c r="BG5" s="1"/>
      <c r="BH5" s="1"/>
      <c r="BI5" s="1"/>
      <c r="BJ5" s="1"/>
    </row>
    <row r="6" spans="1:62" ht="15" customHeight="1" x14ac:dyDescent="0.35">
      <c r="A6" s="1"/>
      <c r="B6" s="1"/>
      <c r="C6" s="1"/>
      <c r="D6" s="1"/>
      <c r="E6" s="1"/>
      <c r="F6" s="1"/>
      <c r="G6" s="1" t="s">
        <v>76</v>
      </c>
      <c r="H6" s="1"/>
      <c r="I6" s="1"/>
      <c r="J6" s="1"/>
      <c r="K6" s="1"/>
      <c r="L6" s="1"/>
      <c r="M6" s="1" t="s">
        <v>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ht="1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2" ht="17.399999999999999" customHeight="1" x14ac:dyDescent="0.35">
      <c r="A8" s="138" t="s">
        <v>1</v>
      </c>
      <c r="B8" s="138" t="s">
        <v>165</v>
      </c>
      <c r="C8" s="138" t="s">
        <v>2</v>
      </c>
      <c r="D8" s="28"/>
      <c r="E8" s="65"/>
      <c r="F8" s="135" t="s">
        <v>80</v>
      </c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7"/>
      <c r="AU8" s="87"/>
      <c r="AV8" s="88"/>
      <c r="AW8" s="135" t="s">
        <v>80</v>
      </c>
      <c r="AX8" s="136"/>
      <c r="AY8" s="136"/>
      <c r="AZ8" s="136"/>
      <c r="BA8" s="136"/>
      <c r="BB8" s="136"/>
      <c r="BC8" s="136"/>
      <c r="BD8" s="136"/>
      <c r="BE8" s="136"/>
      <c r="BF8" s="136"/>
      <c r="BG8" s="72"/>
      <c r="BH8" s="72"/>
      <c r="BI8" s="72"/>
      <c r="BJ8" s="73"/>
    </row>
    <row r="9" spans="1:62" ht="17.399999999999999" customHeight="1" x14ac:dyDescent="0.35">
      <c r="A9" s="149"/>
      <c r="B9" s="149"/>
      <c r="C9" s="149"/>
      <c r="D9" s="28"/>
      <c r="E9" s="65"/>
      <c r="F9" s="140" t="s">
        <v>77</v>
      </c>
      <c r="G9" s="63">
        <v>1</v>
      </c>
      <c r="H9" s="63">
        <v>2</v>
      </c>
      <c r="I9" s="63">
        <v>3</v>
      </c>
      <c r="J9" s="63">
        <v>4</v>
      </c>
      <c r="K9" s="63">
        <v>5</v>
      </c>
      <c r="L9" s="63">
        <v>6</v>
      </c>
      <c r="M9" s="63">
        <v>7</v>
      </c>
      <c r="N9" s="63">
        <v>8</v>
      </c>
      <c r="O9" s="63">
        <v>9</v>
      </c>
      <c r="P9" s="63">
        <v>10</v>
      </c>
      <c r="Q9" s="63">
        <v>11</v>
      </c>
      <c r="R9" s="63">
        <v>12</v>
      </c>
      <c r="S9" s="63">
        <v>13</v>
      </c>
      <c r="T9" s="63">
        <v>14</v>
      </c>
      <c r="U9" s="63">
        <v>15</v>
      </c>
      <c r="V9" s="63">
        <v>16</v>
      </c>
      <c r="W9" s="63">
        <v>17</v>
      </c>
      <c r="X9" s="63">
        <v>18</v>
      </c>
      <c r="Y9" s="63">
        <v>19</v>
      </c>
      <c r="Z9" s="63">
        <v>20</v>
      </c>
      <c r="AA9" s="63">
        <v>21</v>
      </c>
      <c r="AB9" s="63">
        <v>22</v>
      </c>
      <c r="AC9" s="63">
        <v>23</v>
      </c>
      <c r="AD9" s="63">
        <v>24</v>
      </c>
      <c r="AE9" s="63">
        <v>25</v>
      </c>
      <c r="AF9" s="63">
        <v>26</v>
      </c>
      <c r="AG9" s="63">
        <v>27</v>
      </c>
      <c r="AH9" s="63">
        <v>28</v>
      </c>
      <c r="AI9" s="63">
        <v>29</v>
      </c>
      <c r="AJ9" s="63">
        <v>30</v>
      </c>
      <c r="AK9" s="63">
        <v>31</v>
      </c>
      <c r="AL9" s="63">
        <v>32</v>
      </c>
      <c r="AM9" s="63">
        <v>33</v>
      </c>
      <c r="AN9" s="63">
        <v>34</v>
      </c>
      <c r="AO9" s="63">
        <v>35</v>
      </c>
      <c r="AP9" s="63">
        <v>31</v>
      </c>
      <c r="AQ9" s="63">
        <v>32</v>
      </c>
      <c r="AR9" s="63">
        <v>33</v>
      </c>
      <c r="AS9" s="63">
        <v>34</v>
      </c>
      <c r="AT9" s="63">
        <v>35</v>
      </c>
      <c r="AU9" s="28"/>
      <c r="AV9" s="89"/>
      <c r="AW9" s="80">
        <v>36</v>
      </c>
      <c r="AX9" s="63">
        <v>37</v>
      </c>
      <c r="AY9" s="80">
        <v>38</v>
      </c>
      <c r="AZ9" s="63">
        <v>39</v>
      </c>
      <c r="BA9" s="80">
        <v>40</v>
      </c>
      <c r="BB9" s="63">
        <v>41</v>
      </c>
      <c r="BC9" s="80">
        <v>42</v>
      </c>
      <c r="BD9" s="63">
        <v>43</v>
      </c>
      <c r="BE9" s="80">
        <v>44</v>
      </c>
      <c r="BF9" s="63">
        <v>45</v>
      </c>
      <c r="BG9" s="20"/>
      <c r="BH9" s="138" t="s">
        <v>71</v>
      </c>
      <c r="BI9" s="133" t="s">
        <v>3</v>
      </c>
      <c r="BJ9" s="133" t="s">
        <v>70</v>
      </c>
    </row>
    <row r="10" spans="1:62" ht="17.399999999999999" customHeight="1" x14ac:dyDescent="0.35">
      <c r="A10" s="149"/>
      <c r="B10" s="149"/>
      <c r="C10" s="149"/>
      <c r="D10" s="28"/>
      <c r="E10" s="65"/>
      <c r="F10" s="141"/>
      <c r="G10" s="135" t="s">
        <v>78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7"/>
      <c r="AU10" s="87"/>
      <c r="AV10" s="88"/>
      <c r="AW10" s="135" t="s">
        <v>78</v>
      </c>
      <c r="AX10" s="136"/>
      <c r="AY10" s="136"/>
      <c r="AZ10" s="136"/>
      <c r="BA10" s="136"/>
      <c r="BB10" s="136"/>
      <c r="BC10" s="136"/>
      <c r="BD10" s="136"/>
      <c r="BE10" s="136"/>
      <c r="BF10" s="137"/>
      <c r="BG10" s="20"/>
      <c r="BH10" s="139"/>
      <c r="BI10" s="134"/>
      <c r="BJ10" s="134"/>
    </row>
    <row r="11" spans="1:62" ht="17.399999999999999" customHeight="1" x14ac:dyDescent="0.35">
      <c r="A11" s="64"/>
      <c r="B11" s="64"/>
      <c r="C11" s="19" t="s">
        <v>69</v>
      </c>
      <c r="D11" s="29"/>
      <c r="E11" s="66"/>
      <c r="F11" s="142"/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2</v>
      </c>
      <c r="AL11" s="2">
        <v>2</v>
      </c>
      <c r="AM11" s="2">
        <v>2</v>
      </c>
      <c r="AN11" s="2">
        <v>2</v>
      </c>
      <c r="AO11" s="2">
        <v>2</v>
      </c>
      <c r="AP11" s="74">
        <v>1</v>
      </c>
      <c r="AQ11" s="74">
        <v>1</v>
      </c>
      <c r="AR11" s="74">
        <v>1</v>
      </c>
      <c r="AS11" s="74">
        <v>1</v>
      </c>
      <c r="AT11" s="74">
        <v>1</v>
      </c>
      <c r="AU11" s="90"/>
      <c r="AV11" s="91"/>
      <c r="AW11" s="81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f>SUM(G11:AO11)</f>
        <v>40</v>
      </c>
      <c r="BH11" s="2"/>
      <c r="BI11" s="2"/>
      <c r="BJ11" s="2"/>
    </row>
    <row r="12" spans="1:62" ht="15" customHeight="1" x14ac:dyDescent="0.35">
      <c r="A12" s="41">
        <v>1</v>
      </c>
      <c r="B12" s="95" t="s">
        <v>120</v>
      </c>
      <c r="C12" s="30" t="s">
        <v>81</v>
      </c>
      <c r="D12" s="31"/>
      <c r="E12" s="36"/>
      <c r="F12" s="70"/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2</v>
      </c>
      <c r="AL12" s="2">
        <v>2</v>
      </c>
      <c r="AM12" s="2">
        <v>2</v>
      </c>
      <c r="AN12" s="2">
        <v>2</v>
      </c>
      <c r="AO12" s="2">
        <v>2</v>
      </c>
      <c r="AP12" s="75"/>
      <c r="AQ12" s="75"/>
      <c r="AR12" s="75"/>
      <c r="AS12" s="75"/>
      <c r="AT12" s="75"/>
      <c r="AU12" s="26"/>
      <c r="AV12" s="27"/>
      <c r="AW12" s="82"/>
      <c r="AX12" s="42"/>
      <c r="AY12" s="42"/>
      <c r="AZ12" s="42"/>
      <c r="BA12" s="42"/>
      <c r="BB12" s="42"/>
      <c r="BC12" s="42"/>
      <c r="BD12" s="42"/>
      <c r="BE12" s="42"/>
      <c r="BF12" s="42"/>
      <c r="BG12" s="2"/>
      <c r="BH12" s="42">
        <f>SUM(G12:AO12)</f>
        <v>40</v>
      </c>
      <c r="BI12" s="97">
        <f>BH12/BG11*100</f>
        <v>100</v>
      </c>
      <c r="BJ12" s="98" t="str">
        <f>IFERROR(IF(BI12&lt;F12,"Perlu mengulang beberapa Tujuan Pembelajaran dalam Mata Pelajarann  ",IF(BI12&gt;=F12,"Dinyatakan tuntas untuk seluruh Tujuan Pembelajaran dalam Mata Pelajaran ","")),"") &amp;N5</f>
        <v>Dinyatakan tuntas untuk seluruh Tujuan Pembelajaran dalam Mata Pelajaran PAI dan Budi Pekerti</v>
      </c>
    </row>
    <row r="13" spans="1:62" ht="15" customHeight="1" x14ac:dyDescent="0.35">
      <c r="A13" s="45">
        <v>2</v>
      </c>
      <c r="B13" s="95" t="s">
        <v>121</v>
      </c>
      <c r="C13" s="30" t="s">
        <v>82</v>
      </c>
      <c r="D13" s="31"/>
      <c r="E13" s="36"/>
      <c r="F13" s="7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74"/>
      <c r="AQ13" s="74"/>
      <c r="AR13" s="74"/>
      <c r="AS13" s="74"/>
      <c r="AT13" s="74"/>
      <c r="AU13" s="90"/>
      <c r="AV13" s="91"/>
      <c r="AW13" s="81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42">
        <f t="shared" ref="BH13:BH46" si="0">SUM(G13:AO13)</f>
        <v>0</v>
      </c>
      <c r="BI13" s="97">
        <f>BH13/BG11*100</f>
        <v>0</v>
      </c>
      <c r="BJ13" s="98" t="str">
        <f>IFERROR(IF(BI13&lt;F13,"Perlu mengulang beberapa Tujuan Pembelajaran dalam Mata Pelajarann  ",IF(BI13&gt;=F13,"Dinyatakan tuntas untuk seluruh Tujuan Pembelajaran dalam Mata Pelajaran ","")),"") &amp;N5</f>
        <v>Dinyatakan tuntas untuk seluruh Tujuan Pembelajaran dalam Mata Pelajaran PAI dan Budi Pekerti</v>
      </c>
    </row>
    <row r="14" spans="1:62" ht="15" customHeight="1" x14ac:dyDescent="0.35">
      <c r="A14" s="45">
        <v>3</v>
      </c>
      <c r="B14" s="95" t="s">
        <v>122</v>
      </c>
      <c r="C14" s="30" t="s">
        <v>114</v>
      </c>
      <c r="D14" s="31"/>
      <c r="E14" s="36"/>
      <c r="F14" s="7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74"/>
      <c r="AQ14" s="74"/>
      <c r="AR14" s="74"/>
      <c r="AS14" s="74"/>
      <c r="AT14" s="74"/>
      <c r="AU14" s="90"/>
      <c r="AV14" s="91"/>
      <c r="AW14" s="81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42">
        <f t="shared" si="0"/>
        <v>0</v>
      </c>
      <c r="BI14" s="97">
        <f>BH14/BG11*100</f>
        <v>0</v>
      </c>
      <c r="BJ14" s="98" t="str">
        <f>IFERROR(IF(BI14&lt;F14,"Perlu mengulang beberapa Tujuan Pembelajaran dalam Mata Pelajarann  ",IF(BI14&gt;=F14,"Dinyatakan tuntas untuk seluruh Tujuan Pembelajaran dalam Mata Pelajaran ","")),"") &amp;N5</f>
        <v>Dinyatakan tuntas untuk seluruh Tujuan Pembelajaran dalam Mata Pelajaran PAI dan Budi Pekerti</v>
      </c>
    </row>
    <row r="15" spans="1:62" ht="15" customHeight="1" x14ac:dyDescent="0.35">
      <c r="A15" s="45">
        <v>4</v>
      </c>
      <c r="B15" s="95" t="s">
        <v>123</v>
      </c>
      <c r="C15" s="30" t="s">
        <v>83</v>
      </c>
      <c r="D15" s="31"/>
      <c r="E15" s="36"/>
      <c r="F15" s="7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74"/>
      <c r="AQ15" s="74"/>
      <c r="AR15" s="74"/>
      <c r="AS15" s="74"/>
      <c r="AT15" s="74"/>
      <c r="AU15" s="90"/>
      <c r="AV15" s="91"/>
      <c r="AW15" s="81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42">
        <f t="shared" si="0"/>
        <v>0</v>
      </c>
      <c r="BI15" s="97" t="e">
        <f t="shared" ref="BI15:BI46" si="1">BH15/BG14*100</f>
        <v>#DIV/0!</v>
      </c>
      <c r="BJ15" s="98" t="str">
        <f>IFERROR(IF(BI15&lt;F15,"Perlu mengulang beberapa Tujuan Pembelajaran dalam Mata Pelajarann  ",IF(BI15&gt;=F15,"Dinyatakan tuntas untuk seluruh Tujuan Pembelajaran dalam Mata Pelajaran ","")),"") &amp;N5</f>
        <v>PAI dan Budi Pekerti</v>
      </c>
    </row>
    <row r="16" spans="1:62" ht="15" customHeight="1" x14ac:dyDescent="0.35">
      <c r="A16" s="45">
        <v>5</v>
      </c>
      <c r="B16" s="95" t="s">
        <v>124</v>
      </c>
      <c r="C16" s="30" t="s">
        <v>115</v>
      </c>
      <c r="D16" s="31"/>
      <c r="E16" s="36"/>
      <c r="F16" s="7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74"/>
      <c r="AQ16" s="74"/>
      <c r="AR16" s="74"/>
      <c r="AS16" s="74"/>
      <c r="AT16" s="74"/>
      <c r="AU16" s="90"/>
      <c r="AV16" s="91"/>
      <c r="AW16" s="81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42">
        <f t="shared" si="0"/>
        <v>0</v>
      </c>
      <c r="BI16" s="97" t="e">
        <f t="shared" si="1"/>
        <v>#DIV/0!</v>
      </c>
      <c r="BJ16" s="98" t="str">
        <f>IFERROR(IF(BI16&lt;F16,"Perlu mengulang beberapa Tujuan Pembelajaran dalam Mata Pelajarann  ",IF(BI16&gt;=F16,"Dinyatakan tuntas untuk seluruh Tujuan Pembelajaran dalam Mata Pelajaran ","")),"") &amp;N5</f>
        <v>PAI dan Budi Pekerti</v>
      </c>
    </row>
    <row r="17" spans="1:62" ht="15" customHeight="1" x14ac:dyDescent="0.35">
      <c r="A17" s="45">
        <v>6</v>
      </c>
      <c r="B17" s="95" t="s">
        <v>125</v>
      </c>
      <c r="C17" s="30" t="s">
        <v>84</v>
      </c>
      <c r="D17" s="31"/>
      <c r="E17" s="36"/>
      <c r="F17" s="7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74"/>
      <c r="AQ17" s="74"/>
      <c r="AR17" s="74"/>
      <c r="AS17" s="74"/>
      <c r="AT17" s="74"/>
      <c r="AU17" s="90"/>
      <c r="AV17" s="91"/>
      <c r="AW17" s="81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42">
        <f t="shared" si="0"/>
        <v>0</v>
      </c>
      <c r="BI17" s="97" t="e">
        <f t="shared" si="1"/>
        <v>#DIV/0!</v>
      </c>
      <c r="BJ17" s="98" t="str">
        <f>IFERROR(IF(BI17&lt;F17,"Perlu mengulang beberapa Tujuan Pembelajaran dalam Mata Pelajarann  ",IF(BI17&gt;=F17,"Dinyatakan tuntas untuk seluruh Tujuan Pembelajaran dalam Mata Pelajaran ","")),"") &amp;N5</f>
        <v>PAI dan Budi Pekerti</v>
      </c>
    </row>
    <row r="18" spans="1:62" ht="15" customHeight="1" x14ac:dyDescent="0.35">
      <c r="A18" s="45">
        <v>7</v>
      </c>
      <c r="B18" s="95" t="s">
        <v>126</v>
      </c>
      <c r="C18" s="30" t="s">
        <v>85</v>
      </c>
      <c r="D18" s="31"/>
      <c r="E18" s="36"/>
      <c r="F18" s="7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74"/>
      <c r="AQ18" s="74"/>
      <c r="AR18" s="74"/>
      <c r="AS18" s="74"/>
      <c r="AT18" s="74"/>
      <c r="AU18" s="90"/>
      <c r="AV18" s="91"/>
      <c r="AW18" s="81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42">
        <f t="shared" si="0"/>
        <v>0</v>
      </c>
      <c r="BI18" s="97" t="e">
        <f t="shared" si="1"/>
        <v>#DIV/0!</v>
      </c>
      <c r="BJ18" s="98" t="str">
        <f>IFERROR(IF(BI18&lt;F18,"Perlu mengulang beberapa Tujuan Pembelajaran dalam Mata Pelajarann  ",IF(BI18&gt;=F18,"Dinyatakan tuntas untuk seluruh Tujuan Pembelajaran dalam Mata Pelajaran ","")),"") &amp;N5</f>
        <v>PAI dan Budi Pekerti</v>
      </c>
    </row>
    <row r="19" spans="1:62" ht="15" customHeight="1" x14ac:dyDescent="0.35">
      <c r="A19" s="45">
        <v>8</v>
      </c>
      <c r="B19" s="95" t="s">
        <v>127</v>
      </c>
      <c r="C19" s="30" t="s">
        <v>116</v>
      </c>
      <c r="D19" s="31"/>
      <c r="E19" s="36"/>
      <c r="F19" s="7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74"/>
      <c r="AQ19" s="74"/>
      <c r="AR19" s="74"/>
      <c r="AS19" s="74"/>
      <c r="AT19" s="74"/>
      <c r="AU19" s="90"/>
      <c r="AV19" s="91"/>
      <c r="AW19" s="81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42">
        <f t="shared" si="0"/>
        <v>0</v>
      </c>
      <c r="BI19" s="97" t="e">
        <f t="shared" si="1"/>
        <v>#DIV/0!</v>
      </c>
      <c r="BJ19" s="98" t="str">
        <f>IFERROR(IF(BI19&lt;F19,"Perlu mengulang beberapa Tujuan Pembelajaran dalam Mata Pelajarann  ",IF(BI19&gt;=F19,"Dinyatakan tuntas untuk seluruh Tujuan Pembelajaran dalam Mata Pelajaran ","")),"") &amp;N5</f>
        <v>PAI dan Budi Pekerti</v>
      </c>
    </row>
    <row r="20" spans="1:62" ht="15" customHeight="1" x14ac:dyDescent="0.35">
      <c r="A20" s="45">
        <v>9</v>
      </c>
      <c r="B20" s="95" t="s">
        <v>128</v>
      </c>
      <c r="C20" s="30" t="s">
        <v>86</v>
      </c>
      <c r="D20" s="31"/>
      <c r="E20" s="36"/>
      <c r="F20" s="7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74"/>
      <c r="AQ20" s="74"/>
      <c r="AR20" s="74"/>
      <c r="AS20" s="74"/>
      <c r="AT20" s="74"/>
      <c r="AU20" s="90"/>
      <c r="AV20" s="91"/>
      <c r="AW20" s="81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42">
        <f t="shared" si="0"/>
        <v>0</v>
      </c>
      <c r="BI20" s="97" t="e">
        <f t="shared" si="1"/>
        <v>#DIV/0!</v>
      </c>
      <c r="BJ20" s="98" t="str">
        <f>IFERROR(IF(BI20&lt;F20,"Perlu mengulang beberapa Tujuan Pembelajaran dalam Mata Pelajarann  ",IF(BI20&gt;=F20,"Dinyatakan tuntas untuk seluruh Tujuan Pembelajaran dalam Mata Pelajaran ","")),"") &amp;N5</f>
        <v>PAI dan Budi Pekerti</v>
      </c>
    </row>
    <row r="21" spans="1:62" ht="15" customHeight="1" x14ac:dyDescent="0.35">
      <c r="A21" s="45">
        <v>10</v>
      </c>
      <c r="B21" s="95" t="s">
        <v>129</v>
      </c>
      <c r="C21" s="30" t="s">
        <v>87</v>
      </c>
      <c r="D21" s="31"/>
      <c r="E21" s="36"/>
      <c r="F21" s="7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74"/>
      <c r="AQ21" s="74"/>
      <c r="AR21" s="74"/>
      <c r="AS21" s="74"/>
      <c r="AT21" s="74"/>
      <c r="AU21" s="90"/>
      <c r="AV21" s="91"/>
      <c r="AW21" s="81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42">
        <f t="shared" si="0"/>
        <v>0</v>
      </c>
      <c r="BI21" s="97" t="e">
        <f t="shared" si="1"/>
        <v>#DIV/0!</v>
      </c>
      <c r="BJ21" s="98" t="str">
        <f>IFERROR(IF(BI21&lt;F21,"Perlu mengulang beberapa Tujuan Pembelajaran dalam Mata Pelajarann  ",IF(BI21&gt;=F21,"Dinyatakan tuntas untuk seluruh Tujuan Pembelajaran dalam Mata Pelajaran ","")),"") &amp;N5</f>
        <v>PAI dan Budi Pekerti</v>
      </c>
    </row>
    <row r="22" spans="1:62" ht="15" customHeight="1" x14ac:dyDescent="0.35">
      <c r="A22" s="45">
        <v>11</v>
      </c>
      <c r="B22" s="95" t="s">
        <v>130</v>
      </c>
      <c r="C22" s="30" t="s">
        <v>88</v>
      </c>
      <c r="D22" s="31"/>
      <c r="E22" s="36"/>
      <c r="F22" s="7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74"/>
      <c r="AQ22" s="74"/>
      <c r="AR22" s="74"/>
      <c r="AS22" s="74"/>
      <c r="AT22" s="74"/>
      <c r="AU22" s="90"/>
      <c r="AV22" s="91"/>
      <c r="AW22" s="81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42">
        <f t="shared" si="0"/>
        <v>0</v>
      </c>
      <c r="BI22" s="97" t="e">
        <f t="shared" si="1"/>
        <v>#DIV/0!</v>
      </c>
      <c r="BJ22" s="98" t="str">
        <f>IFERROR(IF(BI22&lt;F22,"Perlu mengulang beberapa Tujuan Pembelajaran dalam Mata Pelajarann  ",IF(BI22&gt;=F22,"Dinyatakan tuntas untuk seluruh Tujuan Pembelajaran dalam Mata Pelajaran ","")),"") &amp;N5</f>
        <v>PAI dan Budi Pekerti</v>
      </c>
    </row>
    <row r="23" spans="1:62" ht="15" customHeight="1" x14ac:dyDescent="0.35">
      <c r="A23" s="45">
        <v>12</v>
      </c>
      <c r="B23" s="95" t="s">
        <v>131</v>
      </c>
      <c r="C23" s="30" t="s">
        <v>89</v>
      </c>
      <c r="D23" s="31"/>
      <c r="E23" s="36"/>
      <c r="F23" s="7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74"/>
      <c r="AQ23" s="74"/>
      <c r="AR23" s="74"/>
      <c r="AS23" s="74"/>
      <c r="AT23" s="74"/>
      <c r="AU23" s="90"/>
      <c r="AV23" s="91"/>
      <c r="AW23" s="81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42">
        <f t="shared" si="0"/>
        <v>0</v>
      </c>
      <c r="BI23" s="97" t="e">
        <f t="shared" si="1"/>
        <v>#DIV/0!</v>
      </c>
      <c r="BJ23" s="98" t="str">
        <f>IFERROR(IF(BI23&lt;F23,"Perlu mengulang beberapa Tujuan Pembelajaran dalam Mata Pelajarann  ",IF(BI23&gt;=F23,"Dinyatakan tuntas untuk seluruh Tujuan Pembelajaran dalam Mata Pelajaran ","")),"") &amp;N5</f>
        <v>PAI dan Budi Pekerti</v>
      </c>
    </row>
    <row r="24" spans="1:62" ht="15" customHeight="1" x14ac:dyDescent="0.35">
      <c r="A24" s="46">
        <v>13</v>
      </c>
      <c r="B24" s="95" t="s">
        <v>132</v>
      </c>
      <c r="C24" s="30" t="s">
        <v>90</v>
      </c>
      <c r="D24" s="31"/>
      <c r="E24" s="36"/>
      <c r="F24" s="70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76"/>
      <c r="AQ24" s="76"/>
      <c r="AR24" s="76"/>
      <c r="AS24" s="76"/>
      <c r="AT24" s="76"/>
      <c r="AU24" s="26"/>
      <c r="AV24" s="27"/>
      <c r="AW24" s="83"/>
      <c r="AX24" s="21"/>
      <c r="AY24" s="21"/>
      <c r="AZ24" s="21"/>
      <c r="BA24" s="21"/>
      <c r="BB24" s="21"/>
      <c r="BC24" s="21"/>
      <c r="BD24" s="21"/>
      <c r="BE24" s="21"/>
      <c r="BF24" s="21"/>
      <c r="BG24" s="2"/>
      <c r="BH24" s="42">
        <f t="shared" si="0"/>
        <v>0</v>
      </c>
      <c r="BI24" s="97" t="e">
        <f t="shared" si="1"/>
        <v>#DIV/0!</v>
      </c>
      <c r="BJ24" s="98" t="str">
        <f>IFERROR(IF(BI24&lt;F24,"Perlu mengulang beberapa Tujuan Pembelajaran dalam Mata Pelajarann  ",IF(BI24&gt;=F24,"Dinyatakan tuntas untuk seluruh Tujuan Pembelajaran dalam Mata Pelajaran ","")),"") &amp;N5</f>
        <v>PAI dan Budi Pekerti</v>
      </c>
    </row>
    <row r="25" spans="1:62" ht="15" customHeight="1" x14ac:dyDescent="0.35">
      <c r="A25" s="45">
        <v>14</v>
      </c>
      <c r="B25" s="95" t="s">
        <v>133</v>
      </c>
      <c r="C25" s="30" t="s">
        <v>91</v>
      </c>
      <c r="D25" s="31"/>
      <c r="E25" s="36"/>
      <c r="F25" s="7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74"/>
      <c r="AQ25" s="74"/>
      <c r="AR25" s="74"/>
      <c r="AS25" s="74"/>
      <c r="AT25" s="74"/>
      <c r="AU25" s="90"/>
      <c r="AV25" s="91"/>
      <c r="AW25" s="81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42">
        <f t="shared" si="0"/>
        <v>0</v>
      </c>
      <c r="BI25" s="97" t="e">
        <f t="shared" si="1"/>
        <v>#DIV/0!</v>
      </c>
      <c r="BJ25" s="98" t="str">
        <f>IFERROR(IF(BI25&lt;F25,"Perlu mengulang beberapa Tujuan Pembelajaran dalam Mata Pelajarann  ",IF(BI25&gt;=F25,"Dinyatakan tuntas untuk seluruh Tujuan Pembelajaran dalam Mata Pelajaran ","")),"") &amp;N5</f>
        <v>PAI dan Budi Pekerti</v>
      </c>
    </row>
    <row r="26" spans="1:62" ht="15" customHeight="1" x14ac:dyDescent="0.35">
      <c r="A26" s="45">
        <v>15</v>
      </c>
      <c r="B26" s="95" t="s">
        <v>134</v>
      </c>
      <c r="C26" s="30" t="s">
        <v>92</v>
      </c>
      <c r="D26" s="31"/>
      <c r="E26" s="36"/>
      <c r="F26" s="70"/>
      <c r="G26" s="2">
        <v>0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0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0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2</v>
      </c>
      <c r="AL26" s="2">
        <v>2</v>
      </c>
      <c r="AM26" s="2">
        <v>2</v>
      </c>
      <c r="AN26" s="2">
        <v>2</v>
      </c>
      <c r="AO26" s="2">
        <v>2</v>
      </c>
      <c r="AP26" s="74"/>
      <c r="AQ26" s="74"/>
      <c r="AR26" s="74"/>
      <c r="AS26" s="74"/>
      <c r="AT26" s="74"/>
      <c r="AU26" s="90"/>
      <c r="AV26" s="91"/>
      <c r="AW26" s="81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42">
        <f t="shared" si="0"/>
        <v>35</v>
      </c>
      <c r="BI26" s="97">
        <f>BH26/BG11*100</f>
        <v>87.5</v>
      </c>
      <c r="BJ26" s="98" t="str">
        <f>IFERROR(IF(BI26&lt;F26,"Perlu mengulang beberapa Tujuan Pembelajaran dalam Mata Pelajarann  ",IF(BI26&gt;=F26,"Dinyatakan tuntas untuk seluruh Tujuan Pembelajaran dalam Mata Pelajaran ","")),"") &amp;N5</f>
        <v>Dinyatakan tuntas untuk seluruh Tujuan Pembelajaran dalam Mata Pelajaran PAI dan Budi Pekerti</v>
      </c>
    </row>
    <row r="27" spans="1:62" ht="15" customHeight="1" x14ac:dyDescent="0.35">
      <c r="A27" s="47">
        <v>16</v>
      </c>
      <c r="B27" s="95" t="s">
        <v>135</v>
      </c>
      <c r="C27" s="30" t="s">
        <v>93</v>
      </c>
      <c r="D27" s="31"/>
      <c r="E27" s="36"/>
      <c r="F27" s="70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77"/>
      <c r="AQ27" s="77"/>
      <c r="AR27" s="77"/>
      <c r="AS27" s="77"/>
      <c r="AT27" s="77"/>
      <c r="AU27" s="90"/>
      <c r="AV27" s="91"/>
      <c r="AW27" s="84"/>
      <c r="AX27" s="48"/>
      <c r="AY27" s="48"/>
      <c r="AZ27" s="48"/>
      <c r="BA27" s="48"/>
      <c r="BB27" s="48"/>
      <c r="BC27" s="48"/>
      <c r="BD27" s="48"/>
      <c r="BE27" s="48"/>
      <c r="BF27" s="48"/>
      <c r="BG27" s="2"/>
      <c r="BH27" s="42">
        <f t="shared" si="0"/>
        <v>0</v>
      </c>
      <c r="BI27" s="97" t="e">
        <f t="shared" si="1"/>
        <v>#DIV/0!</v>
      </c>
      <c r="BJ27" s="98" t="str">
        <f>IFERROR(IF(BI27&lt;F27,"Perlu mengulang beberapa Tujuan Pembelajaran dalam Mata Pelajarann  ",IF(BI27&gt;=F27,"Dinyatakan tuntas untuk seluruh Tujuan Pembelajaran dalam Mata Pelajaran ","")),"") &amp;N5</f>
        <v>PAI dan Budi Pekerti</v>
      </c>
    </row>
    <row r="28" spans="1:62" ht="15" customHeight="1" x14ac:dyDescent="0.35">
      <c r="A28" s="45">
        <v>17</v>
      </c>
      <c r="B28" s="95" t="s">
        <v>136</v>
      </c>
      <c r="C28" s="30" t="s">
        <v>94</v>
      </c>
      <c r="D28" s="31"/>
      <c r="E28" s="36"/>
      <c r="F28" s="7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74"/>
      <c r="AQ28" s="74"/>
      <c r="AR28" s="74"/>
      <c r="AS28" s="74"/>
      <c r="AT28" s="74"/>
      <c r="AU28" s="90"/>
      <c r="AV28" s="91"/>
      <c r="AW28" s="81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42">
        <f t="shared" si="0"/>
        <v>0</v>
      </c>
      <c r="BI28" s="97" t="e">
        <f t="shared" si="1"/>
        <v>#DIV/0!</v>
      </c>
      <c r="BJ28" s="98" t="str">
        <f>IFERROR(IF(BI28&lt;F28,"Perlu mengulang beberapa Tujuan Pembelajaran dalam Mata Pelajarann  ",IF(BI28&gt;=F28,"Dinyatakan tuntas untuk seluruh Tujuan Pembelajaran dalam Mata Pelajaran ","")),"") &amp;N5</f>
        <v>PAI dan Budi Pekerti</v>
      </c>
    </row>
    <row r="29" spans="1:62" ht="15" customHeight="1" x14ac:dyDescent="0.35">
      <c r="A29" s="49">
        <v>18</v>
      </c>
      <c r="B29" s="95" t="s">
        <v>137</v>
      </c>
      <c r="C29" s="30" t="s">
        <v>95</v>
      </c>
      <c r="D29" s="31"/>
      <c r="E29" s="36"/>
      <c r="F29" s="7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78"/>
      <c r="AQ29" s="78"/>
      <c r="AR29" s="78"/>
      <c r="AS29" s="78"/>
      <c r="AT29" s="78"/>
      <c r="AU29" s="90"/>
      <c r="AV29" s="91"/>
      <c r="AW29" s="85"/>
      <c r="AX29" s="50"/>
      <c r="AY29" s="50"/>
      <c r="AZ29" s="50"/>
      <c r="BA29" s="50"/>
      <c r="BB29" s="50"/>
      <c r="BC29" s="50"/>
      <c r="BD29" s="50"/>
      <c r="BE29" s="50"/>
      <c r="BF29" s="50"/>
      <c r="BG29" s="2"/>
      <c r="BH29" s="42">
        <f t="shared" si="0"/>
        <v>0</v>
      </c>
      <c r="BI29" s="97" t="e">
        <f t="shared" si="1"/>
        <v>#DIV/0!</v>
      </c>
      <c r="BJ29" s="98" t="str">
        <f>IFERROR(IF(BI29&lt;F29,"Perlu mengulang beberapa Tujuan Pembelajaran dalam Mata Pelajarann  ",IF(BI29&gt;=F29,"Dinyatakan tuntas untuk seluruh Tujuan Pembelajaran dalam Mata Pelajaran ","")),"") &amp;N5</f>
        <v>PAI dan Budi Pekerti</v>
      </c>
    </row>
    <row r="30" spans="1:62" ht="15" customHeight="1" x14ac:dyDescent="0.35">
      <c r="A30" s="45">
        <v>19</v>
      </c>
      <c r="B30" s="95" t="s">
        <v>138</v>
      </c>
      <c r="C30" s="30" t="s">
        <v>96</v>
      </c>
      <c r="D30" s="31"/>
      <c r="E30" s="36"/>
      <c r="F30" s="70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77"/>
      <c r="AQ30" s="77"/>
      <c r="AR30" s="77"/>
      <c r="AS30" s="77"/>
      <c r="AT30" s="77"/>
      <c r="AU30" s="90"/>
      <c r="AV30" s="91"/>
      <c r="AW30" s="84"/>
      <c r="AX30" s="48"/>
      <c r="AY30" s="48"/>
      <c r="AZ30" s="48"/>
      <c r="BA30" s="48"/>
      <c r="BB30" s="48"/>
      <c r="BC30" s="48"/>
      <c r="BD30" s="48"/>
      <c r="BE30" s="48"/>
      <c r="BF30" s="48"/>
      <c r="BG30" s="2"/>
      <c r="BH30" s="42">
        <f t="shared" si="0"/>
        <v>0</v>
      </c>
      <c r="BI30" s="97" t="e">
        <f t="shared" si="1"/>
        <v>#DIV/0!</v>
      </c>
      <c r="BJ30" s="98" t="str">
        <f>IFERROR(IF(BI30&lt;F30,"Perlu mengulang beberapa Tujuan Pembelajaran dalam Mata Pelajarann  ",IF(BI30&gt;=F30,"Dinyatakan tuntas untuk seluruh Tujuan Pembelajaran dalam Mata Pelajaran ","")),"") &amp;N5</f>
        <v>PAI dan Budi Pekerti</v>
      </c>
    </row>
    <row r="31" spans="1:62" ht="15" customHeight="1" x14ac:dyDescent="0.35">
      <c r="A31" s="45">
        <v>20</v>
      </c>
      <c r="B31" s="95" t="s">
        <v>139</v>
      </c>
      <c r="C31" s="30" t="s">
        <v>97</v>
      </c>
      <c r="D31" s="31"/>
      <c r="E31" s="36"/>
      <c r="F31" s="7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74"/>
      <c r="AQ31" s="74"/>
      <c r="AR31" s="74"/>
      <c r="AS31" s="74"/>
      <c r="AT31" s="74"/>
      <c r="AU31" s="90"/>
      <c r="AV31" s="91"/>
      <c r="AW31" s="81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42">
        <f t="shared" si="0"/>
        <v>0</v>
      </c>
      <c r="BI31" s="97" t="e">
        <f t="shared" si="1"/>
        <v>#DIV/0!</v>
      </c>
      <c r="BJ31" s="98" t="str">
        <f>IFERROR(IF(BI31&lt;F31,"Perlu mengulang beberapa Tujuan Pembelajaran dalam Mata Pelajarann  ",IF(BI31&gt;=F31,"Dinyatakan tuntas untuk seluruh Tujuan Pembelajaran dalam Mata Pelajaran ","")),"") &amp;N5</f>
        <v>PAI dan Budi Pekerti</v>
      </c>
    </row>
    <row r="32" spans="1:62" ht="15" customHeight="1" x14ac:dyDescent="0.35">
      <c r="A32" s="45">
        <v>21</v>
      </c>
      <c r="B32" s="95" t="s">
        <v>140</v>
      </c>
      <c r="C32" s="30" t="s">
        <v>98</v>
      </c>
      <c r="D32" s="31"/>
      <c r="E32" s="36"/>
      <c r="F32" s="7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74"/>
      <c r="AQ32" s="74"/>
      <c r="AR32" s="74"/>
      <c r="AS32" s="74"/>
      <c r="AT32" s="74"/>
      <c r="AU32" s="90"/>
      <c r="AV32" s="91"/>
      <c r="AW32" s="81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42">
        <f t="shared" si="0"/>
        <v>0</v>
      </c>
      <c r="BI32" s="97" t="e">
        <f t="shared" si="1"/>
        <v>#DIV/0!</v>
      </c>
      <c r="BJ32" s="98" t="str">
        <f>IFERROR(IF(BI32&lt;F32,"Perlu mengulang beberapa Tujuan Pembelajaran dalam Mata Pelajarann  ",IF(BI32&gt;=F32,"Dinyatakan tuntas untuk seluruh Tujuan Pembelajaran dalam Mata Pelajaran ","")),"") &amp;N5</f>
        <v>PAI dan Budi Pekerti</v>
      </c>
    </row>
    <row r="33" spans="1:62" ht="15" customHeight="1" x14ac:dyDescent="0.35">
      <c r="A33" s="46">
        <v>22</v>
      </c>
      <c r="B33" s="95" t="s">
        <v>141</v>
      </c>
      <c r="C33" s="30" t="s">
        <v>99</v>
      </c>
      <c r="D33" s="31"/>
      <c r="E33" s="36"/>
      <c r="F33" s="70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76"/>
      <c r="AQ33" s="76"/>
      <c r="AR33" s="76"/>
      <c r="AS33" s="76"/>
      <c r="AT33" s="76"/>
      <c r="AU33" s="26"/>
      <c r="AV33" s="27"/>
      <c r="AW33" s="83"/>
      <c r="AX33" s="21"/>
      <c r="AY33" s="21"/>
      <c r="AZ33" s="21"/>
      <c r="BA33" s="21"/>
      <c r="BB33" s="21"/>
      <c r="BC33" s="21"/>
      <c r="BD33" s="21"/>
      <c r="BE33" s="21"/>
      <c r="BF33" s="21"/>
      <c r="BG33" s="2"/>
      <c r="BH33" s="42">
        <f t="shared" si="0"/>
        <v>0</v>
      </c>
      <c r="BI33" s="97" t="e">
        <f t="shared" si="1"/>
        <v>#DIV/0!</v>
      </c>
      <c r="BJ33" s="98" t="str">
        <f>IFERROR(IF(BI33&lt;F33,"Perlu mengulang beberapa Tujuan Pembelajaran dalam Mata Pelajarann  ",IF(BI33&gt;=F33,"Dinyatakan tuntas untuk seluruh Tujuan Pembelajaran dalam Mata Pelajaran ","")),"") &amp;N5</f>
        <v>PAI dan Budi Pekerti</v>
      </c>
    </row>
    <row r="34" spans="1:62" ht="15" customHeight="1" x14ac:dyDescent="0.35">
      <c r="A34" s="45">
        <v>23</v>
      </c>
      <c r="B34" s="95" t="s">
        <v>142</v>
      </c>
      <c r="C34" s="30" t="s">
        <v>100</v>
      </c>
      <c r="D34" s="31"/>
      <c r="E34" s="36"/>
      <c r="F34" s="7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74"/>
      <c r="AQ34" s="74"/>
      <c r="AR34" s="74"/>
      <c r="AS34" s="74"/>
      <c r="AT34" s="74"/>
      <c r="AU34" s="90"/>
      <c r="AV34" s="91"/>
      <c r="AW34" s="81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42">
        <f t="shared" si="0"/>
        <v>0</v>
      </c>
      <c r="BI34" s="97" t="e">
        <f t="shared" si="1"/>
        <v>#DIV/0!</v>
      </c>
      <c r="BJ34" s="98" t="str">
        <f>IFERROR(IF(BI34&lt;F34,"Perlu mengulang beberapa Tujuan Pembelajaran dalam Mata Pelajarann  ",IF(BI34&gt;=F34,"Dinyatakan tuntas untuk seluruh Tujuan Pembelajaran dalam Mata Pelajaran ","")),"") &amp;N5</f>
        <v>PAI dan Budi Pekerti</v>
      </c>
    </row>
    <row r="35" spans="1:62" ht="15" customHeight="1" x14ac:dyDescent="0.35">
      <c r="A35" s="51">
        <v>24</v>
      </c>
      <c r="B35" s="95" t="s">
        <v>143</v>
      </c>
      <c r="C35" s="30" t="s">
        <v>101</v>
      </c>
      <c r="D35" s="31"/>
      <c r="E35" s="36"/>
      <c r="F35" s="70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79"/>
      <c r="AQ35" s="79"/>
      <c r="AR35" s="79"/>
      <c r="AS35" s="79"/>
      <c r="AT35" s="79"/>
      <c r="AU35" s="26"/>
      <c r="AV35" s="27"/>
      <c r="AW35" s="86"/>
      <c r="AX35" s="52"/>
      <c r="AY35" s="52"/>
      <c r="AZ35" s="52"/>
      <c r="BA35" s="52"/>
      <c r="BB35" s="52"/>
      <c r="BC35" s="52"/>
      <c r="BD35" s="52"/>
      <c r="BE35" s="52"/>
      <c r="BF35" s="52"/>
      <c r="BG35" s="2"/>
      <c r="BH35" s="42">
        <f t="shared" si="0"/>
        <v>0</v>
      </c>
      <c r="BI35" s="97" t="e">
        <f t="shared" si="1"/>
        <v>#DIV/0!</v>
      </c>
      <c r="BJ35" s="98" t="str">
        <f>IFERROR(IF(BI35&lt;F35,"Perlu mengulang beberapa Tujuan Pembelajaran dalam Mata Pelajarann  ",IF(BI35&gt;=F35,"Dinyatakan tuntas untuk seluruh Tujuan Pembelajaran dalam Mata Pelajaran ","")),"") &amp;N5</f>
        <v>PAI dan Budi Pekerti</v>
      </c>
    </row>
    <row r="36" spans="1:62" ht="15" customHeight="1" x14ac:dyDescent="0.35">
      <c r="A36" s="45">
        <v>25</v>
      </c>
      <c r="B36" s="95" t="s">
        <v>144</v>
      </c>
      <c r="C36" s="30" t="s">
        <v>102</v>
      </c>
      <c r="D36" s="31"/>
      <c r="E36" s="36"/>
      <c r="F36" s="7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74"/>
      <c r="AQ36" s="74"/>
      <c r="AR36" s="74"/>
      <c r="AS36" s="74"/>
      <c r="AT36" s="74"/>
      <c r="AU36" s="90"/>
      <c r="AV36" s="91"/>
      <c r="AW36" s="81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42">
        <f t="shared" si="0"/>
        <v>0</v>
      </c>
      <c r="BI36" s="97" t="e">
        <f t="shared" si="1"/>
        <v>#DIV/0!</v>
      </c>
      <c r="BJ36" s="98" t="str">
        <f>IFERROR(IF(BI36&lt;F36,"Perlu mengulang beberapa Tujuan Pembelajaran dalam Mata Pelajarann  ",IF(BI36&gt;=F36,"Dinyatakan tuntas untuk seluruh Tujuan Pembelajaran dalam Mata Pelajaran ","")),"") &amp;N5</f>
        <v>PAI dan Budi Pekerti</v>
      </c>
    </row>
    <row r="37" spans="1:62" ht="15" customHeight="1" x14ac:dyDescent="0.35">
      <c r="A37" s="46">
        <v>26</v>
      </c>
      <c r="B37" s="95" t="s">
        <v>145</v>
      </c>
      <c r="C37" s="30" t="s">
        <v>103</v>
      </c>
      <c r="D37" s="31"/>
      <c r="E37" s="36"/>
      <c r="F37" s="7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74"/>
      <c r="AQ37" s="74"/>
      <c r="AR37" s="74"/>
      <c r="AS37" s="74"/>
      <c r="AT37" s="74"/>
      <c r="AU37" s="90"/>
      <c r="AV37" s="91"/>
      <c r="AW37" s="81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42">
        <f t="shared" si="0"/>
        <v>0</v>
      </c>
      <c r="BI37" s="97" t="e">
        <f t="shared" si="1"/>
        <v>#DIV/0!</v>
      </c>
      <c r="BJ37" s="98" t="str">
        <f>IFERROR(IF(BI37&lt;F37,"Perlu mengulang beberapa Tujuan Pembelajaran dalam Mata Pelajarann  ",IF(BI37&gt;=F37,"Dinyatakan tuntas untuk seluruh Tujuan Pembelajaran dalam Mata Pelajaran ","")),"") &amp;N5</f>
        <v>PAI dan Budi Pekerti</v>
      </c>
    </row>
    <row r="38" spans="1:62" ht="15" customHeight="1" x14ac:dyDescent="0.35">
      <c r="A38" s="45">
        <v>27</v>
      </c>
      <c r="B38" s="95" t="s">
        <v>146</v>
      </c>
      <c r="C38" s="30" t="s">
        <v>104</v>
      </c>
      <c r="D38" s="31"/>
      <c r="E38" s="36"/>
      <c r="F38" s="7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74"/>
      <c r="AQ38" s="74"/>
      <c r="AR38" s="74"/>
      <c r="AS38" s="74"/>
      <c r="AT38" s="74"/>
      <c r="AU38" s="90"/>
      <c r="AV38" s="91"/>
      <c r="AW38" s="81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42">
        <f t="shared" si="0"/>
        <v>0</v>
      </c>
      <c r="BI38" s="97" t="e">
        <f t="shared" si="1"/>
        <v>#DIV/0!</v>
      </c>
      <c r="BJ38" s="98" t="str">
        <f>IFERROR(IF(BI38&lt;F38,"Perlu mengulang beberapa Tujuan Pembelajaran dalam Mata Pelajarann  ",IF(BI38&gt;=F38,"Dinyatakan tuntas untuk seluruh Tujuan Pembelajaran dalam Mata Pelajaran ","")),"") &amp;N5</f>
        <v>PAI dan Budi Pekerti</v>
      </c>
    </row>
    <row r="39" spans="1:62" ht="15" customHeight="1" x14ac:dyDescent="0.35">
      <c r="A39" s="46">
        <v>28</v>
      </c>
      <c r="B39" s="95" t="s">
        <v>147</v>
      </c>
      <c r="C39" s="30" t="s">
        <v>117</v>
      </c>
      <c r="D39" s="31"/>
      <c r="E39" s="36"/>
      <c r="F39" s="7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74"/>
      <c r="AQ39" s="74"/>
      <c r="AR39" s="74"/>
      <c r="AS39" s="74"/>
      <c r="AT39" s="74"/>
      <c r="AU39" s="90"/>
      <c r="AV39" s="91"/>
      <c r="AW39" s="81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42">
        <f t="shared" si="0"/>
        <v>0</v>
      </c>
      <c r="BI39" s="97" t="e">
        <f t="shared" si="1"/>
        <v>#DIV/0!</v>
      </c>
      <c r="BJ39" s="98" t="str">
        <f>IFERROR(IF(BI39&lt;F39,"Perlu mengulang beberapa Tujuan Pembelajaran dalam Mata Pelajarann  ",IF(BI39&gt;=F39,"Dinyatakan tuntas untuk seluruh Tujuan Pembelajaran dalam Mata Pelajaran ","")),"") &amp;N5</f>
        <v>PAI dan Budi Pekerti</v>
      </c>
    </row>
    <row r="40" spans="1:62" ht="15" customHeight="1" x14ac:dyDescent="0.35">
      <c r="A40" s="45">
        <v>29</v>
      </c>
      <c r="B40" s="95" t="s">
        <v>148</v>
      </c>
      <c r="C40" s="30" t="s">
        <v>105</v>
      </c>
      <c r="D40" s="31"/>
      <c r="E40" s="36"/>
      <c r="F40" s="7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74"/>
      <c r="AQ40" s="74"/>
      <c r="AR40" s="74"/>
      <c r="AS40" s="74"/>
      <c r="AT40" s="74"/>
      <c r="AU40" s="90"/>
      <c r="AV40" s="91"/>
      <c r="AW40" s="81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42">
        <f t="shared" si="0"/>
        <v>0</v>
      </c>
      <c r="BI40" s="97" t="e">
        <f t="shared" si="1"/>
        <v>#DIV/0!</v>
      </c>
      <c r="BJ40" s="98" t="str">
        <f>IFERROR(IF(BI40&lt;F40,"Perlu mengulang beberapa Tujuan Pembelajaran dalam Mata Pelajarann  ",IF(BI40&gt;=F40,"Dinyatakan tuntas untuk seluruh Tujuan Pembelajaran dalam Mata Pelajaran ","")),"") &amp;N5</f>
        <v>PAI dan Budi Pekerti</v>
      </c>
    </row>
    <row r="41" spans="1:62" ht="15" customHeight="1" x14ac:dyDescent="0.35">
      <c r="A41" s="46">
        <v>30</v>
      </c>
      <c r="B41" s="95" t="s">
        <v>149</v>
      </c>
      <c r="C41" s="30" t="s">
        <v>118</v>
      </c>
      <c r="D41" s="31"/>
      <c r="E41" s="36"/>
      <c r="F41" s="7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74"/>
      <c r="AQ41" s="74"/>
      <c r="AR41" s="74"/>
      <c r="AS41" s="74"/>
      <c r="AT41" s="74"/>
      <c r="AU41" s="90"/>
      <c r="AV41" s="91"/>
      <c r="AW41" s="81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42">
        <f t="shared" si="0"/>
        <v>0</v>
      </c>
      <c r="BI41" s="97" t="e">
        <f t="shared" si="1"/>
        <v>#DIV/0!</v>
      </c>
      <c r="BJ41" s="98" t="str">
        <f>IFERROR(IF(BI41&lt;F41,"Perlu mengulang beberapa Tujuan Pembelajaran dalam Mata Pelajarann  ",IF(BI41&gt;=F41,"Dinyatakan tuntas untuk seluruh Tujuan Pembelajaran dalam Mata Pelajaran ","")),"") &amp;N5</f>
        <v>PAI dan Budi Pekerti</v>
      </c>
    </row>
    <row r="42" spans="1:62" ht="15" customHeight="1" x14ac:dyDescent="0.35">
      <c r="A42" s="45">
        <v>31</v>
      </c>
      <c r="B42" s="95" t="s">
        <v>150</v>
      </c>
      <c r="C42" s="30" t="s">
        <v>106</v>
      </c>
      <c r="D42" s="31"/>
      <c r="E42" s="36"/>
      <c r="F42" s="7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74"/>
      <c r="AQ42" s="74"/>
      <c r="AR42" s="74"/>
      <c r="AS42" s="74"/>
      <c r="AT42" s="74"/>
      <c r="AU42" s="90"/>
      <c r="AV42" s="91"/>
      <c r="AW42" s="81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42">
        <f t="shared" si="0"/>
        <v>0</v>
      </c>
      <c r="BI42" s="97" t="e">
        <f t="shared" si="1"/>
        <v>#DIV/0!</v>
      </c>
      <c r="BJ42" s="98" t="str">
        <f>IFERROR(IF(BI42&lt;F42,"Perlu mengulang beberapa Tujuan Pembelajaran dalam Mata Pelajarann  ",IF(BI42&gt;=F42,"Dinyatakan tuntas untuk seluruh Tujuan Pembelajaran dalam Mata Pelajaran ","")),"") &amp;N5</f>
        <v>PAI dan Budi Pekerti</v>
      </c>
    </row>
    <row r="43" spans="1:62" ht="15" customHeight="1" x14ac:dyDescent="0.35">
      <c r="A43" s="46">
        <v>32</v>
      </c>
      <c r="B43" s="95" t="s">
        <v>151</v>
      </c>
      <c r="C43" s="30" t="s">
        <v>107</v>
      </c>
      <c r="D43" s="31"/>
      <c r="E43" s="36"/>
      <c r="F43" s="7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74"/>
      <c r="AQ43" s="74"/>
      <c r="AR43" s="74"/>
      <c r="AS43" s="74"/>
      <c r="AT43" s="74"/>
      <c r="AU43" s="90"/>
      <c r="AV43" s="91"/>
      <c r="AW43" s="81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42">
        <f t="shared" si="0"/>
        <v>0</v>
      </c>
      <c r="BI43" s="97" t="e">
        <f t="shared" si="1"/>
        <v>#DIV/0!</v>
      </c>
      <c r="BJ43" s="98" t="str">
        <f>IFERROR(IF(BI43&lt;F43,"Perlu mengulang beberapa Tujuan Pembelajaran dalam Mata Pelajarann  ",IF(BI43&gt;=F43,"Dinyatakan tuntas untuk seluruh Tujuan Pembelajaran dalam Mata Pelajaran ","")),"") &amp;N5</f>
        <v>PAI dan Budi Pekerti</v>
      </c>
    </row>
    <row r="44" spans="1:62" ht="15" customHeight="1" x14ac:dyDescent="0.35">
      <c r="A44" s="45">
        <v>33</v>
      </c>
      <c r="B44" s="95" t="s">
        <v>152</v>
      </c>
      <c r="C44" s="30" t="s">
        <v>108</v>
      </c>
      <c r="D44" s="31"/>
      <c r="E44" s="36"/>
      <c r="F44" s="7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74"/>
      <c r="AQ44" s="74"/>
      <c r="AR44" s="74"/>
      <c r="AS44" s="74"/>
      <c r="AT44" s="74"/>
      <c r="AU44" s="90"/>
      <c r="AV44" s="91"/>
      <c r="AW44" s="81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42">
        <f t="shared" si="0"/>
        <v>0</v>
      </c>
      <c r="BI44" s="97" t="e">
        <f t="shared" si="1"/>
        <v>#DIV/0!</v>
      </c>
      <c r="BJ44" s="98" t="str">
        <f>IFERROR(IF(BI44&lt;F44,"Perlu mengulang beberapa Tujuan Pembelajaran dalam Mata Pelajarann  ",IF(BI44&gt;=F44,"Dinyatakan tuntas untuk seluruh Tujuan Pembelajaran dalam Mata Pelajaran ","")),"") &amp;N5</f>
        <v>PAI dan Budi Pekerti</v>
      </c>
    </row>
    <row r="45" spans="1:62" ht="15" customHeight="1" x14ac:dyDescent="0.35">
      <c r="A45" s="46">
        <v>34</v>
      </c>
      <c r="B45" s="95" t="s">
        <v>153</v>
      </c>
      <c r="C45" s="30" t="s">
        <v>119</v>
      </c>
      <c r="D45" s="31"/>
      <c r="E45" s="36"/>
      <c r="F45" s="7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74"/>
      <c r="AQ45" s="74"/>
      <c r="AR45" s="74"/>
      <c r="AS45" s="74"/>
      <c r="AT45" s="74"/>
      <c r="AU45" s="90"/>
      <c r="AV45" s="91"/>
      <c r="AW45" s="81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42">
        <f t="shared" si="0"/>
        <v>0</v>
      </c>
      <c r="BI45" s="97" t="e">
        <f t="shared" si="1"/>
        <v>#DIV/0!</v>
      </c>
      <c r="BJ45" s="98" t="str">
        <f>IFERROR(IF(BI45&lt;F45,"Perlu mengulang beberapa Tujuan Pembelajaran dalam Mata Pelajarann  ",IF(BI45&gt;=F45,"Dinyatakan tuntas untuk seluruh Tujuan Pembelajaran dalam Mata Pelajaran ","")),"") &amp;N5</f>
        <v>PAI dan Budi Pekerti</v>
      </c>
    </row>
    <row r="46" spans="1:62" ht="15" customHeight="1" x14ac:dyDescent="0.35">
      <c r="A46" s="45">
        <v>35</v>
      </c>
      <c r="B46" s="96" t="s">
        <v>154</v>
      </c>
      <c r="C46" s="34" t="s">
        <v>109</v>
      </c>
      <c r="D46" s="31"/>
      <c r="E46" s="36"/>
      <c r="F46" s="7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74"/>
      <c r="AQ46" s="74"/>
      <c r="AR46" s="74"/>
      <c r="AS46" s="74"/>
      <c r="AT46" s="74"/>
      <c r="AU46" s="90"/>
      <c r="AV46" s="91"/>
      <c r="AW46" s="81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42">
        <f t="shared" si="0"/>
        <v>0</v>
      </c>
      <c r="BI46" s="97" t="e">
        <f t="shared" si="1"/>
        <v>#DIV/0!</v>
      </c>
      <c r="BJ46" s="98" t="str">
        <f>IFERROR(IF(BI46&lt;F46,"Perlu mengulang beberapa Tujuan Pembelajaran dalam Mata Pelajarann  ",IF(BI46&gt;=F46,"Dinyatakan tuntas untuk seluruh Tujuan Pembelajaran dalam Mata Pelajaran ","")),"") &amp;N5</f>
        <v>PAI dan Budi Pekerti</v>
      </c>
    </row>
    <row r="47" spans="1:62" ht="15" customHeight="1" x14ac:dyDescent="0.35">
      <c r="A47" s="55"/>
      <c r="B47" s="55"/>
      <c r="C47" s="36"/>
      <c r="D47" s="36"/>
      <c r="E47" s="36"/>
      <c r="F47" s="3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56"/>
      <c r="BI47" s="57"/>
      <c r="BJ47" s="58"/>
    </row>
    <row r="48" spans="1:62" ht="15" customHeight="1" x14ac:dyDescent="0.35">
      <c r="A48" s="55"/>
      <c r="B48" s="55"/>
      <c r="C48" s="36"/>
      <c r="D48" s="36"/>
      <c r="E48" s="36"/>
      <c r="F48" s="36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56"/>
      <c r="BI48" s="57"/>
      <c r="BJ48" s="58"/>
    </row>
    <row r="49" spans="1:62" s="61" customFormat="1" ht="15" customHeight="1" x14ac:dyDescent="0.3">
      <c r="A49" s="59"/>
      <c r="B49" s="59"/>
      <c r="C49" s="59"/>
      <c r="D49" s="59"/>
      <c r="E49" s="59"/>
      <c r="F49" s="59"/>
      <c r="G49" s="59"/>
      <c r="H49" s="59" t="str">
        <f>'oke Lingk. 1'!H43</f>
        <v>Mengetahui</v>
      </c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 t="s">
        <v>164</v>
      </c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 t="str">
        <f>'oke Lingk. 1'!AB43</f>
        <v>Banjar,     Januari 2024</v>
      </c>
      <c r="BG49" s="59"/>
      <c r="BH49" s="59"/>
      <c r="BI49" s="59"/>
      <c r="BJ49" s="59"/>
    </row>
    <row r="50" spans="1:62" s="61" customFormat="1" ht="15" customHeight="1" x14ac:dyDescent="0.3">
      <c r="A50" s="59"/>
      <c r="B50" s="59"/>
      <c r="C50" s="59"/>
      <c r="D50" s="59"/>
      <c r="E50" s="59"/>
      <c r="F50" s="59"/>
      <c r="G50" s="59"/>
      <c r="H50" s="59" t="str">
        <f>'oke Lingk. 1'!H44</f>
        <v>Kepala UPTD SDN 1 Sukamukti</v>
      </c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 t="s">
        <v>79</v>
      </c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 t="str">
        <f>'oke Lingk. 1'!AB44</f>
        <v>Guru</v>
      </c>
      <c r="BG50" s="59"/>
      <c r="BH50" s="59"/>
      <c r="BI50" s="59"/>
      <c r="BJ50" s="59"/>
    </row>
    <row r="51" spans="1:62" s="61" customFormat="1" ht="15" customHeight="1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</row>
    <row r="52" spans="1:62" s="61" customFormat="1" ht="15" customHeight="1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</row>
    <row r="53" spans="1:62" s="61" customFormat="1" ht="15" customHeight="1" x14ac:dyDescent="0.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</row>
    <row r="54" spans="1:62" s="61" customFormat="1" ht="15" customHeight="1" x14ac:dyDescent="0.3">
      <c r="A54" s="59"/>
      <c r="B54" s="59"/>
      <c r="C54" s="71"/>
      <c r="D54" s="71"/>
      <c r="E54" s="71"/>
      <c r="F54" s="71"/>
      <c r="G54" s="59"/>
      <c r="H54" s="71" t="str">
        <f>'oke Lingk. 1'!H48</f>
        <v>DUDUNG, S.Pd.SD</v>
      </c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 t="s">
        <v>157</v>
      </c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71" t="str">
        <f>'oke Lingk. 1'!AB48</f>
        <v>ANISA NURBASARI, S.Pd.I</v>
      </c>
      <c r="BG54" s="59"/>
      <c r="BH54" s="59"/>
      <c r="BI54" s="59"/>
      <c r="BJ54" s="59"/>
    </row>
    <row r="55" spans="1:62" s="61" customFormat="1" ht="15" customHeight="1" x14ac:dyDescent="0.3">
      <c r="A55" s="59"/>
      <c r="B55" s="59"/>
      <c r="C55" s="60"/>
      <c r="D55" s="60"/>
      <c r="E55" s="60"/>
      <c r="F55" s="60"/>
      <c r="G55" s="59"/>
      <c r="H55" s="60" t="str">
        <f>'oke Lingk. 1'!H49</f>
        <v>NIP. 197111101993071001</v>
      </c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 t="s">
        <v>158</v>
      </c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60" t="str">
        <f>'oke Lingk. 1'!AB49</f>
        <v>NIP. 198702092019032004</v>
      </c>
      <c r="BG55" s="59"/>
      <c r="BH55" s="59"/>
      <c r="BI55" s="59"/>
      <c r="BJ55" s="59"/>
    </row>
    <row r="56" spans="1:62" x14ac:dyDescent="0.3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</row>
  </sheetData>
  <mergeCells count="15">
    <mergeCell ref="F1:AT1"/>
    <mergeCell ref="AW1:BJ1"/>
    <mergeCell ref="F2:AT2"/>
    <mergeCell ref="AW2:BJ2"/>
    <mergeCell ref="A8:A10"/>
    <mergeCell ref="B8:B10"/>
    <mergeCell ref="C8:C10"/>
    <mergeCell ref="F8:AT8"/>
    <mergeCell ref="AW8:BF8"/>
    <mergeCell ref="F9:F11"/>
    <mergeCell ref="BH9:BH10"/>
    <mergeCell ref="BI9:BI10"/>
    <mergeCell ref="BJ9:BJ10"/>
    <mergeCell ref="G10:AT10"/>
    <mergeCell ref="AW10:BF10"/>
  </mergeCells>
  <pageMargins left="0.62992125984251968" right="0.19685039370078741" top="0.74803149606299213" bottom="1.3385826771653544" header="0.31496062992125984" footer="0.31496062992125984"/>
  <pageSetup paperSize="5" scale="7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8"/>
  <sheetViews>
    <sheetView topLeftCell="A40" workbookViewId="0">
      <selection activeCell="D40" sqref="D40"/>
    </sheetView>
  </sheetViews>
  <sheetFormatPr defaultRowHeight="14.5" x14ac:dyDescent="0.35"/>
  <cols>
    <col min="1" max="1" width="3.6328125" customWidth="1"/>
    <col min="2" max="2" width="14.6328125" customWidth="1"/>
    <col min="3" max="3" width="3.453125" customWidth="1"/>
    <col min="4" max="4" width="33.54296875" customWidth="1"/>
    <col min="5" max="5" width="3.453125" customWidth="1"/>
    <col min="6" max="6" width="33.54296875" customWidth="1"/>
    <col min="7" max="8" width="10.08984375" customWidth="1"/>
    <col min="9" max="9" width="12.08984375" customWidth="1"/>
    <col min="10" max="10" width="12.90625" customWidth="1"/>
    <col min="11" max="11" width="5.90625" customWidth="1"/>
    <col min="12" max="12" width="2.54296875" customWidth="1"/>
    <col min="13" max="13" width="3" customWidth="1"/>
    <col min="14" max="14" width="11.54296875" customWidth="1"/>
  </cols>
  <sheetData>
    <row r="1" spans="1:11" ht="17.5" x14ac:dyDescent="0.35">
      <c r="A1" s="160" t="s">
        <v>18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7.5" x14ac:dyDescent="0.35">
      <c r="A2" s="160" t="s">
        <v>19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</row>
    <row r="3" spans="1:11" ht="15.5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5" x14ac:dyDescent="0.35">
      <c r="A4" s="6"/>
      <c r="B4" s="6" t="s">
        <v>0</v>
      </c>
      <c r="C4" s="6"/>
      <c r="D4" s="6" t="s">
        <v>28</v>
      </c>
      <c r="E4" s="6"/>
      <c r="F4" s="6"/>
      <c r="G4" s="6"/>
      <c r="H4" s="6"/>
      <c r="I4" s="6"/>
      <c r="J4" s="6"/>
      <c r="K4" s="6"/>
    </row>
    <row r="5" spans="1:11" ht="15.5" x14ac:dyDescent="0.35">
      <c r="A5" s="6"/>
      <c r="B5" s="6" t="s">
        <v>16</v>
      </c>
      <c r="C5" s="6"/>
      <c r="D5" s="6" t="s">
        <v>29</v>
      </c>
      <c r="E5" s="6"/>
      <c r="F5" s="6"/>
      <c r="G5" s="6"/>
      <c r="H5" s="6"/>
      <c r="I5" s="6"/>
      <c r="J5" s="6"/>
      <c r="K5" s="6"/>
    </row>
    <row r="6" spans="1:11" ht="15.5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" customHeight="1" x14ac:dyDescent="0.35">
      <c r="A7" s="161" t="s">
        <v>1</v>
      </c>
      <c r="B7" s="162" t="s">
        <v>20</v>
      </c>
      <c r="C7" s="163" t="s">
        <v>21</v>
      </c>
      <c r="D7" s="164"/>
      <c r="E7" s="163" t="s">
        <v>65</v>
      </c>
      <c r="F7" s="164"/>
      <c r="G7" s="167" t="s">
        <v>22</v>
      </c>
      <c r="H7" s="167"/>
      <c r="I7" s="168" t="s">
        <v>25</v>
      </c>
      <c r="J7" s="170" t="s">
        <v>26</v>
      </c>
      <c r="K7" s="170" t="s">
        <v>27</v>
      </c>
    </row>
    <row r="8" spans="1:11" ht="15" customHeight="1" x14ac:dyDescent="0.35">
      <c r="A8" s="161"/>
      <c r="B8" s="162"/>
      <c r="C8" s="165"/>
      <c r="D8" s="166"/>
      <c r="E8" s="165"/>
      <c r="F8" s="166"/>
      <c r="G8" s="3" t="s">
        <v>23</v>
      </c>
      <c r="H8" s="3" t="s">
        <v>24</v>
      </c>
      <c r="I8" s="169"/>
      <c r="J8" s="171"/>
      <c r="K8" s="171"/>
    </row>
    <row r="9" spans="1:11" ht="56" x14ac:dyDescent="0.35">
      <c r="A9" s="16">
        <v>1</v>
      </c>
      <c r="B9" s="8" t="s">
        <v>30</v>
      </c>
      <c r="C9" s="10" t="s">
        <v>17</v>
      </c>
      <c r="D9" s="7" t="s">
        <v>37</v>
      </c>
      <c r="E9" s="10" t="s">
        <v>17</v>
      </c>
      <c r="F9" s="7" t="s">
        <v>37</v>
      </c>
      <c r="G9" s="4" t="s">
        <v>31</v>
      </c>
      <c r="H9" s="4" t="s">
        <v>32</v>
      </c>
      <c r="I9" s="5" t="s">
        <v>33</v>
      </c>
      <c r="J9" s="5" t="s">
        <v>34</v>
      </c>
      <c r="K9" s="3"/>
    </row>
    <row r="10" spans="1:11" ht="3.75" customHeight="1" x14ac:dyDescent="0.35">
      <c r="A10" s="16"/>
      <c r="B10" s="8"/>
      <c r="C10" s="8"/>
      <c r="D10" s="9"/>
      <c r="E10" s="8"/>
      <c r="F10" s="9"/>
      <c r="G10" s="3"/>
      <c r="H10" s="3"/>
      <c r="I10" s="3"/>
      <c r="J10" s="3"/>
      <c r="K10" s="3"/>
    </row>
    <row r="11" spans="1:11" ht="42" x14ac:dyDescent="0.35">
      <c r="A11" s="16">
        <v>2</v>
      </c>
      <c r="B11" s="8" t="s">
        <v>35</v>
      </c>
      <c r="C11" s="10" t="s">
        <v>10</v>
      </c>
      <c r="D11" s="7" t="s">
        <v>38</v>
      </c>
      <c r="E11" s="10" t="s">
        <v>10</v>
      </c>
      <c r="F11" s="7" t="s">
        <v>38</v>
      </c>
      <c r="G11" s="4" t="s">
        <v>42</v>
      </c>
      <c r="H11" s="4" t="s">
        <v>46</v>
      </c>
      <c r="I11" s="5" t="s">
        <v>33</v>
      </c>
      <c r="J11" s="5" t="s">
        <v>34</v>
      </c>
      <c r="K11" s="3"/>
    </row>
    <row r="12" spans="1:11" ht="3" customHeight="1" x14ac:dyDescent="0.35">
      <c r="A12" s="16">
        <v>3</v>
      </c>
      <c r="B12" s="8"/>
      <c r="C12" s="8"/>
      <c r="D12" s="9"/>
      <c r="E12" s="8"/>
      <c r="F12" s="9"/>
      <c r="G12" s="3"/>
      <c r="H12" s="3"/>
      <c r="I12" s="3"/>
      <c r="J12" s="3"/>
      <c r="K12" s="3"/>
    </row>
    <row r="13" spans="1:11" ht="42" x14ac:dyDescent="0.35">
      <c r="A13" s="16">
        <v>3</v>
      </c>
      <c r="B13" s="8" t="s">
        <v>4</v>
      </c>
      <c r="C13" s="10" t="s">
        <v>8</v>
      </c>
      <c r="D13" s="7" t="s">
        <v>39</v>
      </c>
      <c r="E13" s="10" t="s">
        <v>8</v>
      </c>
      <c r="F13" s="7" t="s">
        <v>39</v>
      </c>
      <c r="G13" s="4" t="s">
        <v>43</v>
      </c>
      <c r="H13" s="4" t="s">
        <v>47</v>
      </c>
      <c r="I13" s="5" t="s">
        <v>33</v>
      </c>
      <c r="J13" s="5" t="s">
        <v>34</v>
      </c>
      <c r="K13" s="3"/>
    </row>
    <row r="14" spans="1:11" ht="3.75" customHeight="1" x14ac:dyDescent="0.35">
      <c r="A14" s="16"/>
      <c r="B14" s="8"/>
      <c r="C14" s="8"/>
      <c r="D14" s="9"/>
      <c r="E14" s="8"/>
      <c r="F14" s="9"/>
      <c r="G14" s="3"/>
      <c r="H14" s="3"/>
      <c r="I14" s="3"/>
      <c r="J14" s="3"/>
      <c r="K14" s="3"/>
    </row>
    <row r="15" spans="1:11" ht="70" x14ac:dyDescent="0.35">
      <c r="A15" s="16">
        <v>4</v>
      </c>
      <c r="B15" s="8" t="s">
        <v>6</v>
      </c>
      <c r="C15" s="10" t="s">
        <v>9</v>
      </c>
      <c r="D15" s="7" t="s">
        <v>40</v>
      </c>
      <c r="E15" s="10" t="s">
        <v>9</v>
      </c>
      <c r="F15" s="7" t="s">
        <v>40</v>
      </c>
      <c r="G15" s="4" t="s">
        <v>44</v>
      </c>
      <c r="H15" s="4" t="s">
        <v>48</v>
      </c>
      <c r="I15" s="5" t="s">
        <v>33</v>
      </c>
      <c r="J15" s="5" t="s">
        <v>34</v>
      </c>
      <c r="K15" s="3"/>
    </row>
    <row r="16" spans="1:11" ht="3.75" customHeight="1" x14ac:dyDescent="0.35">
      <c r="A16" s="16"/>
      <c r="B16" s="8"/>
      <c r="C16" s="8"/>
      <c r="D16" s="9"/>
      <c r="E16" s="8"/>
      <c r="F16" s="9"/>
      <c r="G16" s="3"/>
      <c r="H16" s="3"/>
      <c r="I16" s="3"/>
      <c r="J16" s="3"/>
      <c r="K16" s="3"/>
    </row>
    <row r="17" spans="1:11" ht="31" x14ac:dyDescent="0.35">
      <c r="A17" s="16">
        <v>5</v>
      </c>
      <c r="B17" s="8" t="s">
        <v>36</v>
      </c>
      <c r="C17" s="12" t="s">
        <v>7</v>
      </c>
      <c r="D17" s="11" t="s">
        <v>41</v>
      </c>
      <c r="E17" s="12" t="s">
        <v>7</v>
      </c>
      <c r="F17" s="11" t="s">
        <v>41</v>
      </c>
      <c r="G17" s="4" t="s">
        <v>45</v>
      </c>
      <c r="H17" s="4" t="s">
        <v>49</v>
      </c>
      <c r="I17" s="5" t="s">
        <v>33</v>
      </c>
      <c r="J17" s="5" t="s">
        <v>34</v>
      </c>
      <c r="K17" s="3"/>
    </row>
    <row r="18" spans="1:11" ht="15.5" x14ac:dyDescent="0.35">
      <c r="A18" s="13"/>
      <c r="B18" s="14"/>
      <c r="C18" s="14"/>
      <c r="D18" s="14"/>
      <c r="E18" s="14"/>
      <c r="F18" s="14"/>
      <c r="G18" s="13"/>
      <c r="H18" s="13"/>
      <c r="I18" s="13"/>
      <c r="J18" s="13"/>
      <c r="K18" s="13"/>
    </row>
    <row r="19" spans="1:11" ht="15.5" x14ac:dyDescent="0.35">
      <c r="A19" s="13"/>
      <c r="B19" s="14" t="s">
        <v>11</v>
      </c>
      <c r="C19" s="14"/>
      <c r="D19" s="14"/>
      <c r="E19" s="14"/>
      <c r="F19" s="14"/>
      <c r="G19" s="13"/>
      <c r="H19" s="13"/>
      <c r="I19" s="13" t="s">
        <v>50</v>
      </c>
      <c r="J19" s="13"/>
      <c r="K19" s="13"/>
    </row>
    <row r="20" spans="1:11" ht="15.5" x14ac:dyDescent="0.35">
      <c r="A20" s="13"/>
      <c r="B20" s="14" t="s">
        <v>12</v>
      </c>
      <c r="C20" s="14"/>
      <c r="D20" s="14"/>
      <c r="E20" s="14"/>
      <c r="F20" s="14"/>
      <c r="G20" s="13"/>
      <c r="H20" s="13"/>
      <c r="I20" s="13" t="s">
        <v>51</v>
      </c>
      <c r="J20" s="13"/>
      <c r="K20" s="13"/>
    </row>
    <row r="21" spans="1:11" ht="15.5" x14ac:dyDescent="0.35">
      <c r="A21" s="13"/>
      <c r="B21" s="14"/>
      <c r="C21" s="14"/>
      <c r="D21" s="14"/>
      <c r="E21" s="14"/>
      <c r="F21" s="14"/>
      <c r="G21" s="13"/>
      <c r="H21" s="13"/>
      <c r="I21" s="13"/>
      <c r="J21" s="13"/>
      <c r="K21" s="13"/>
    </row>
    <row r="22" spans="1:11" ht="15.5" x14ac:dyDescent="0.35">
      <c r="A22" s="13"/>
      <c r="B22" s="14"/>
      <c r="C22" s="14"/>
      <c r="D22" s="14"/>
      <c r="E22" s="14"/>
      <c r="F22" s="14"/>
      <c r="G22" s="13"/>
      <c r="H22" s="13"/>
      <c r="I22" s="13"/>
      <c r="J22" s="13"/>
      <c r="K22" s="13"/>
    </row>
    <row r="23" spans="1:11" ht="15.5" x14ac:dyDescent="0.35">
      <c r="A23" s="13"/>
      <c r="B23" s="14"/>
      <c r="C23" s="14"/>
      <c r="D23" s="14"/>
      <c r="E23" s="14"/>
      <c r="F23" s="14"/>
      <c r="G23" s="13"/>
      <c r="H23" s="13"/>
      <c r="I23" s="13"/>
      <c r="J23" s="13"/>
      <c r="K23" s="13"/>
    </row>
    <row r="24" spans="1:11" ht="15.5" x14ac:dyDescent="0.35">
      <c r="A24" s="13"/>
      <c r="B24" s="14"/>
      <c r="C24" s="14"/>
      <c r="D24" s="14"/>
      <c r="E24" s="14"/>
      <c r="F24" s="14"/>
      <c r="G24" s="13"/>
      <c r="H24" s="13"/>
      <c r="I24" s="13"/>
      <c r="J24" s="13"/>
      <c r="K24" s="13"/>
    </row>
    <row r="25" spans="1:11" ht="15.5" x14ac:dyDescent="0.35">
      <c r="A25" s="13"/>
      <c r="B25" s="15" t="s">
        <v>13</v>
      </c>
      <c r="C25" s="14"/>
      <c r="D25" s="14"/>
      <c r="E25" s="14"/>
      <c r="F25" s="14"/>
      <c r="G25" s="13"/>
      <c r="H25" s="13"/>
      <c r="I25" s="6" t="s">
        <v>14</v>
      </c>
      <c r="J25" s="13"/>
      <c r="K25" s="13"/>
    </row>
    <row r="26" spans="1:11" ht="15.5" x14ac:dyDescent="0.35">
      <c r="A26" s="13"/>
      <c r="B26" s="15" t="s">
        <v>52</v>
      </c>
      <c r="C26" s="14"/>
      <c r="D26" s="14"/>
      <c r="E26" s="14"/>
      <c r="F26" s="14"/>
      <c r="G26" s="13"/>
      <c r="H26" s="13"/>
      <c r="I26" s="6" t="s">
        <v>15</v>
      </c>
      <c r="J26" s="13"/>
      <c r="K26" s="13"/>
    </row>
    <row r="27" spans="1:11" ht="17.5" x14ac:dyDescent="0.35">
      <c r="A27" s="160" t="s">
        <v>18</v>
      </c>
      <c r="B27" s="160"/>
      <c r="C27" s="160"/>
      <c r="D27" s="160"/>
      <c r="E27" s="160"/>
      <c r="F27" s="160"/>
      <c r="G27" s="160"/>
      <c r="H27" s="160"/>
      <c r="I27" s="160"/>
      <c r="J27" s="160"/>
      <c r="K27" s="160"/>
    </row>
    <row r="28" spans="1:11" ht="17.5" x14ac:dyDescent="0.35">
      <c r="A28" s="160" t="s">
        <v>19</v>
      </c>
      <c r="B28" s="160"/>
      <c r="C28" s="160"/>
      <c r="D28" s="160"/>
      <c r="E28" s="160"/>
      <c r="F28" s="160"/>
      <c r="G28" s="160"/>
      <c r="H28" s="160"/>
      <c r="I28" s="160"/>
      <c r="J28" s="160"/>
      <c r="K28" s="160"/>
    </row>
    <row r="29" spans="1:11" ht="15.5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5" x14ac:dyDescent="0.35">
      <c r="A30" s="6"/>
      <c r="B30" s="6" t="s">
        <v>0</v>
      </c>
      <c r="C30" s="6"/>
      <c r="D30" s="6" t="s">
        <v>28</v>
      </c>
      <c r="E30" s="6"/>
      <c r="F30" s="6"/>
      <c r="G30" s="6"/>
      <c r="H30" s="6"/>
      <c r="I30" s="6"/>
      <c r="J30" s="6"/>
      <c r="K30" s="6"/>
    </row>
    <row r="31" spans="1:11" ht="15.5" x14ac:dyDescent="0.35">
      <c r="A31" s="6"/>
      <c r="B31" s="6" t="s">
        <v>16</v>
      </c>
      <c r="C31" s="6"/>
      <c r="D31" s="6" t="s">
        <v>54</v>
      </c>
      <c r="E31" s="6"/>
      <c r="F31" s="6"/>
      <c r="G31" s="6"/>
      <c r="H31" s="6"/>
      <c r="I31" s="6"/>
      <c r="J31" s="6"/>
      <c r="K31" s="6"/>
    </row>
    <row r="32" spans="1:11" ht="9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.75" customHeight="1" x14ac:dyDescent="0.35">
      <c r="A33" s="161" t="s">
        <v>1</v>
      </c>
      <c r="B33" s="162" t="s">
        <v>20</v>
      </c>
      <c r="C33" s="163" t="s">
        <v>21</v>
      </c>
      <c r="D33" s="164"/>
      <c r="E33" s="163" t="s">
        <v>65</v>
      </c>
      <c r="F33" s="164"/>
      <c r="G33" s="167" t="s">
        <v>22</v>
      </c>
      <c r="H33" s="167"/>
      <c r="I33" s="168" t="s">
        <v>25</v>
      </c>
      <c r="J33" s="170" t="s">
        <v>26</v>
      </c>
      <c r="K33" s="170" t="s">
        <v>27</v>
      </c>
    </row>
    <row r="34" spans="1:11" ht="15.5" x14ac:dyDescent="0.35">
      <c r="A34" s="161"/>
      <c r="B34" s="162"/>
      <c r="C34" s="165"/>
      <c r="D34" s="166"/>
      <c r="E34" s="165"/>
      <c r="F34" s="166"/>
      <c r="G34" s="3" t="s">
        <v>23</v>
      </c>
      <c r="H34" s="3" t="s">
        <v>24</v>
      </c>
      <c r="I34" s="169"/>
      <c r="J34" s="171"/>
      <c r="K34" s="171"/>
    </row>
    <row r="35" spans="1:11" ht="60" customHeight="1" x14ac:dyDescent="0.35">
      <c r="A35" s="16">
        <v>1</v>
      </c>
      <c r="B35" s="8" t="s">
        <v>30</v>
      </c>
      <c r="C35" s="10" t="s">
        <v>9</v>
      </c>
      <c r="D35" s="7" t="s">
        <v>55</v>
      </c>
      <c r="E35" s="10" t="s">
        <v>9</v>
      </c>
      <c r="F35" s="7" t="s">
        <v>55</v>
      </c>
      <c r="G35" s="4" t="s">
        <v>43</v>
      </c>
      <c r="H35" s="4" t="s">
        <v>47</v>
      </c>
      <c r="I35" s="5" t="s">
        <v>64</v>
      </c>
      <c r="J35" s="5" t="s">
        <v>34</v>
      </c>
      <c r="K35" s="3"/>
    </row>
    <row r="36" spans="1:11" ht="3" customHeight="1" x14ac:dyDescent="0.35">
      <c r="A36" s="16"/>
      <c r="B36" s="8"/>
      <c r="C36" s="8"/>
      <c r="D36" s="9"/>
      <c r="E36" s="8"/>
      <c r="F36" s="9"/>
      <c r="G36" s="3"/>
      <c r="H36" s="3"/>
      <c r="I36" s="3"/>
      <c r="J36" s="3"/>
      <c r="K36" s="3"/>
    </row>
    <row r="37" spans="1:11" ht="42" x14ac:dyDescent="0.35">
      <c r="A37" s="16">
        <v>2</v>
      </c>
      <c r="B37" s="8" t="s">
        <v>35</v>
      </c>
      <c r="C37" s="10" t="s">
        <v>9</v>
      </c>
      <c r="D37" s="7" t="s">
        <v>56</v>
      </c>
      <c r="E37" s="10" t="s">
        <v>9</v>
      </c>
      <c r="F37" s="7" t="s">
        <v>56</v>
      </c>
      <c r="G37" s="4" t="s">
        <v>60</v>
      </c>
      <c r="H37" s="4" t="s">
        <v>61</v>
      </c>
      <c r="I37" s="5" t="s">
        <v>64</v>
      </c>
      <c r="J37" s="5" t="s">
        <v>34</v>
      </c>
      <c r="K37" s="3"/>
    </row>
    <row r="38" spans="1:11" ht="2.25" customHeight="1" x14ac:dyDescent="0.35">
      <c r="A38" s="16">
        <v>3</v>
      </c>
      <c r="B38" s="8"/>
      <c r="C38" s="8"/>
      <c r="D38" s="9"/>
      <c r="E38" s="8"/>
      <c r="F38" s="9"/>
      <c r="G38" s="3"/>
      <c r="H38" s="3"/>
      <c r="I38" s="3"/>
      <c r="J38" s="3"/>
      <c r="K38" s="3"/>
    </row>
    <row r="39" spans="1:11" ht="89.25" customHeight="1" x14ac:dyDescent="0.35">
      <c r="A39" s="16">
        <v>3</v>
      </c>
      <c r="B39" s="8" t="s">
        <v>4</v>
      </c>
      <c r="C39" s="10" t="s">
        <v>53</v>
      </c>
      <c r="D39" s="7" t="s">
        <v>57</v>
      </c>
      <c r="E39" s="10" t="s">
        <v>53</v>
      </c>
      <c r="F39" s="7" t="s">
        <v>57</v>
      </c>
      <c r="G39" s="4" t="s">
        <v>43</v>
      </c>
      <c r="H39" s="4" t="s">
        <v>47</v>
      </c>
      <c r="I39" s="5" t="s">
        <v>64</v>
      </c>
      <c r="J39" s="5" t="s">
        <v>34</v>
      </c>
      <c r="K39" s="3"/>
    </row>
    <row r="40" spans="1:11" ht="3" customHeight="1" x14ac:dyDescent="0.35">
      <c r="A40" s="16"/>
      <c r="B40" s="8"/>
      <c r="C40" s="8"/>
      <c r="D40" s="9"/>
      <c r="E40" s="8"/>
      <c r="F40" s="9"/>
      <c r="G40" s="3"/>
      <c r="H40" s="3"/>
      <c r="I40" s="3"/>
      <c r="J40" s="3"/>
      <c r="K40" s="3"/>
    </row>
    <row r="41" spans="1:11" ht="75.75" customHeight="1" x14ac:dyDescent="0.35">
      <c r="A41" s="16">
        <v>4</v>
      </c>
      <c r="B41" s="8" t="s">
        <v>6</v>
      </c>
      <c r="C41" s="10" t="s">
        <v>10</v>
      </c>
      <c r="D41" s="17" t="s">
        <v>58</v>
      </c>
      <c r="E41" s="10" t="s">
        <v>10</v>
      </c>
      <c r="F41" s="17" t="s">
        <v>58</v>
      </c>
      <c r="G41" s="4" t="s">
        <v>43</v>
      </c>
      <c r="H41" s="4" t="s">
        <v>47</v>
      </c>
      <c r="I41" s="5" t="s">
        <v>64</v>
      </c>
      <c r="J41" s="5" t="s">
        <v>34</v>
      </c>
      <c r="K41" s="3"/>
    </row>
    <row r="42" spans="1:11" ht="3" customHeight="1" x14ac:dyDescent="0.35">
      <c r="A42" s="16"/>
      <c r="B42" s="8"/>
      <c r="C42" s="8"/>
      <c r="D42" s="9"/>
      <c r="E42" s="8"/>
      <c r="F42" s="9"/>
      <c r="G42" s="3"/>
      <c r="H42" s="3"/>
      <c r="I42" s="3"/>
      <c r="J42" s="3"/>
      <c r="K42" s="3"/>
    </row>
    <row r="43" spans="1:11" ht="34.5" customHeight="1" x14ac:dyDescent="0.35">
      <c r="A43" s="16">
        <v>5</v>
      </c>
      <c r="B43" s="8" t="s">
        <v>36</v>
      </c>
      <c r="C43" s="10" t="s">
        <v>9</v>
      </c>
      <c r="D43" s="7" t="s">
        <v>59</v>
      </c>
      <c r="E43" s="10" t="s">
        <v>9</v>
      </c>
      <c r="F43" s="7" t="s">
        <v>59</v>
      </c>
      <c r="G43" s="4" t="s">
        <v>62</v>
      </c>
      <c r="H43" s="4" t="s">
        <v>63</v>
      </c>
      <c r="I43" s="5" t="s">
        <v>64</v>
      </c>
      <c r="J43" s="5" t="s">
        <v>34</v>
      </c>
      <c r="K43" s="3"/>
    </row>
    <row r="44" spans="1:11" ht="6.75" customHeight="1" x14ac:dyDescent="0.35">
      <c r="A44" s="13"/>
      <c r="B44" s="14"/>
      <c r="C44" s="14"/>
      <c r="D44" s="14"/>
      <c r="E44" s="14"/>
      <c r="F44" s="14"/>
      <c r="G44" s="13"/>
      <c r="H44" s="13"/>
      <c r="I44" s="13"/>
      <c r="J44" s="13"/>
      <c r="K44" s="13"/>
    </row>
    <row r="45" spans="1:11" ht="15.5" x14ac:dyDescent="0.35">
      <c r="A45" s="13"/>
      <c r="B45" s="14" t="s">
        <v>11</v>
      </c>
      <c r="C45" s="14"/>
      <c r="D45" s="14"/>
      <c r="E45" s="14"/>
      <c r="F45" s="14"/>
      <c r="G45" s="13"/>
      <c r="H45" s="13"/>
      <c r="I45" s="13" t="s">
        <v>66</v>
      </c>
      <c r="J45" s="13"/>
      <c r="K45" s="13"/>
    </row>
    <row r="46" spans="1:11" ht="15.5" x14ac:dyDescent="0.35">
      <c r="A46" s="13"/>
      <c r="B46" s="14" t="s">
        <v>12</v>
      </c>
      <c r="C46" s="14"/>
      <c r="D46" s="14"/>
      <c r="E46" s="14"/>
      <c r="F46" s="14"/>
      <c r="G46" s="13"/>
      <c r="H46" s="13"/>
      <c r="I46" s="13" t="s">
        <v>51</v>
      </c>
      <c r="J46" s="13"/>
      <c r="K46" s="13"/>
    </row>
    <row r="47" spans="1:11" ht="6.75" customHeight="1" x14ac:dyDescent="0.35">
      <c r="A47" s="13"/>
      <c r="B47" s="14"/>
      <c r="C47" s="14"/>
      <c r="D47" s="14"/>
      <c r="E47" s="14"/>
      <c r="F47" s="14"/>
      <c r="G47" s="13"/>
      <c r="H47" s="13"/>
      <c r="I47" s="13"/>
      <c r="J47" s="13"/>
      <c r="K47" s="13"/>
    </row>
    <row r="48" spans="1:11" ht="15.75" customHeight="1" x14ac:dyDescent="0.35">
      <c r="A48" s="13"/>
      <c r="B48" s="14"/>
      <c r="C48" s="14"/>
      <c r="D48" s="14"/>
      <c r="E48" s="14"/>
      <c r="F48" s="14"/>
      <c r="G48" s="13"/>
      <c r="H48" s="13"/>
      <c r="I48" s="13"/>
      <c r="J48" s="13"/>
      <c r="K48" s="13"/>
    </row>
    <row r="49" spans="1:11" ht="4.5" customHeight="1" x14ac:dyDescent="0.35">
      <c r="A49" s="13"/>
      <c r="B49" s="14"/>
      <c r="C49" s="14"/>
      <c r="D49" s="14"/>
      <c r="E49" s="14"/>
      <c r="F49" s="14"/>
      <c r="G49" s="13"/>
      <c r="H49" s="13"/>
      <c r="I49" s="13"/>
      <c r="J49" s="13"/>
      <c r="K49" s="13"/>
    </row>
    <row r="50" spans="1:11" ht="6" customHeight="1" x14ac:dyDescent="0.35">
      <c r="A50" s="13"/>
      <c r="B50" s="14"/>
      <c r="C50" s="14"/>
      <c r="D50" s="14"/>
      <c r="E50" s="14"/>
      <c r="F50" s="14"/>
      <c r="G50" s="13"/>
      <c r="H50" s="13"/>
      <c r="I50" s="13"/>
      <c r="J50" s="13"/>
      <c r="K50" s="13"/>
    </row>
    <row r="51" spans="1:11" ht="15.5" x14ac:dyDescent="0.35">
      <c r="A51" s="13"/>
      <c r="B51" s="15" t="s">
        <v>13</v>
      </c>
      <c r="C51" s="14"/>
      <c r="D51" s="14"/>
      <c r="E51" s="14"/>
      <c r="F51" s="14"/>
      <c r="G51" s="13"/>
      <c r="H51" s="13"/>
      <c r="I51" s="6" t="s">
        <v>14</v>
      </c>
      <c r="J51" s="13"/>
      <c r="K51" s="13"/>
    </row>
    <row r="52" spans="1:11" ht="15.5" x14ac:dyDescent="0.35">
      <c r="A52" s="13"/>
      <c r="B52" s="15" t="s">
        <v>52</v>
      </c>
      <c r="C52" s="14"/>
      <c r="D52" s="14"/>
      <c r="E52" s="14"/>
      <c r="F52" s="14"/>
      <c r="G52" s="13"/>
      <c r="H52" s="13"/>
      <c r="I52" s="6" t="s">
        <v>15</v>
      </c>
      <c r="J52" s="13"/>
      <c r="K52" s="13"/>
    </row>
    <row r="53" spans="1:11" ht="17.5" x14ac:dyDescent="0.35">
      <c r="A53" s="160" t="s">
        <v>18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</row>
    <row r="54" spans="1:11" ht="17.5" x14ac:dyDescent="0.35">
      <c r="A54" s="160" t="s">
        <v>19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</row>
    <row r="55" spans="1:11" ht="15.5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5.5" x14ac:dyDescent="0.35">
      <c r="A56" s="6"/>
      <c r="B56" s="6" t="s">
        <v>0</v>
      </c>
      <c r="C56" s="6"/>
      <c r="D56" s="6" t="s">
        <v>28</v>
      </c>
      <c r="E56" s="6"/>
      <c r="F56" s="6"/>
      <c r="G56" s="6"/>
      <c r="H56" s="6"/>
      <c r="I56" s="6"/>
      <c r="J56" s="6"/>
      <c r="K56" s="6"/>
    </row>
    <row r="57" spans="1:11" ht="15.5" x14ac:dyDescent="0.35">
      <c r="A57" s="6"/>
      <c r="B57" s="6" t="s">
        <v>16</v>
      </c>
      <c r="C57" s="6"/>
      <c r="D57" s="6" t="s">
        <v>67</v>
      </c>
      <c r="E57" s="6"/>
      <c r="F57" s="6"/>
      <c r="G57" s="6"/>
      <c r="H57" s="6"/>
      <c r="I57" s="6"/>
      <c r="J57" s="6"/>
      <c r="K57" s="6"/>
    </row>
    <row r="58" spans="1:11" ht="15.5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.5" x14ac:dyDescent="0.35">
      <c r="A59" s="161" t="s">
        <v>1</v>
      </c>
      <c r="B59" s="162" t="s">
        <v>20</v>
      </c>
      <c r="C59" s="163" t="s">
        <v>21</v>
      </c>
      <c r="D59" s="164"/>
      <c r="E59" s="163" t="s">
        <v>65</v>
      </c>
      <c r="F59" s="164"/>
      <c r="G59" s="167" t="s">
        <v>22</v>
      </c>
      <c r="H59" s="167"/>
      <c r="I59" s="168" t="s">
        <v>25</v>
      </c>
      <c r="J59" s="170" t="s">
        <v>26</v>
      </c>
      <c r="K59" s="170" t="s">
        <v>27</v>
      </c>
    </row>
    <row r="60" spans="1:11" ht="15.5" x14ac:dyDescent="0.35">
      <c r="A60" s="161"/>
      <c r="B60" s="162"/>
      <c r="C60" s="165"/>
      <c r="D60" s="166"/>
      <c r="E60" s="165"/>
      <c r="F60" s="166"/>
      <c r="G60" s="3" t="s">
        <v>23</v>
      </c>
      <c r="H60" s="3" t="s">
        <v>24</v>
      </c>
      <c r="I60" s="169"/>
      <c r="J60" s="171"/>
      <c r="K60" s="171"/>
    </row>
    <row r="61" spans="1:11" ht="56" x14ac:dyDescent="0.35">
      <c r="A61" s="16">
        <v>1</v>
      </c>
      <c r="B61" s="8" t="s">
        <v>30</v>
      </c>
      <c r="C61" s="10" t="s">
        <v>17</v>
      </c>
      <c r="D61" s="7" t="s">
        <v>37</v>
      </c>
      <c r="E61" s="10" t="s">
        <v>17</v>
      </c>
      <c r="F61" s="7" t="s">
        <v>37</v>
      </c>
      <c r="G61" s="4" t="s">
        <v>31</v>
      </c>
      <c r="H61" s="4" t="s">
        <v>32</v>
      </c>
      <c r="I61" s="5" t="s">
        <v>33</v>
      </c>
      <c r="J61" s="5" t="s">
        <v>34</v>
      </c>
      <c r="K61" s="3"/>
    </row>
    <row r="62" spans="1:11" ht="15.5" x14ac:dyDescent="0.35">
      <c r="A62" s="16"/>
      <c r="B62" s="8"/>
      <c r="C62" s="8"/>
      <c r="D62" s="9"/>
      <c r="E62" s="8"/>
      <c r="F62" s="9"/>
      <c r="G62" s="3"/>
      <c r="H62" s="3"/>
      <c r="I62" s="3"/>
      <c r="J62" s="3"/>
      <c r="K62" s="3"/>
    </row>
    <row r="63" spans="1:11" ht="42" x14ac:dyDescent="0.35">
      <c r="A63" s="16">
        <v>2</v>
      </c>
      <c r="B63" s="8" t="s">
        <v>35</v>
      </c>
      <c r="C63" s="10" t="s">
        <v>10</v>
      </c>
      <c r="D63" s="7" t="s">
        <v>38</v>
      </c>
      <c r="E63" s="10" t="s">
        <v>10</v>
      </c>
      <c r="F63" s="7" t="s">
        <v>38</v>
      </c>
      <c r="G63" s="4" t="s">
        <v>42</v>
      </c>
      <c r="H63" s="4" t="s">
        <v>46</v>
      </c>
      <c r="I63" s="5" t="s">
        <v>33</v>
      </c>
      <c r="J63" s="5" t="s">
        <v>34</v>
      </c>
      <c r="K63" s="3"/>
    </row>
    <row r="64" spans="1:11" ht="15.5" x14ac:dyDescent="0.35">
      <c r="A64" s="16">
        <v>3</v>
      </c>
      <c r="B64" s="8"/>
      <c r="C64" s="8"/>
      <c r="D64" s="9"/>
      <c r="E64" s="8"/>
      <c r="F64" s="9"/>
      <c r="G64" s="3"/>
      <c r="H64" s="3"/>
      <c r="I64" s="3"/>
      <c r="J64" s="3"/>
      <c r="K64" s="3"/>
    </row>
    <row r="65" spans="1:11" ht="42" x14ac:dyDescent="0.35">
      <c r="A65" s="16">
        <v>3</v>
      </c>
      <c r="B65" s="8" t="s">
        <v>4</v>
      </c>
      <c r="C65" s="10" t="s">
        <v>8</v>
      </c>
      <c r="D65" s="7" t="s">
        <v>39</v>
      </c>
      <c r="E65" s="10" t="s">
        <v>8</v>
      </c>
      <c r="F65" s="7" t="s">
        <v>39</v>
      </c>
      <c r="G65" s="4" t="s">
        <v>43</v>
      </c>
      <c r="H65" s="4" t="s">
        <v>47</v>
      </c>
      <c r="I65" s="5" t="s">
        <v>33</v>
      </c>
      <c r="J65" s="5" t="s">
        <v>34</v>
      </c>
      <c r="K65" s="3"/>
    </row>
    <row r="66" spans="1:11" ht="15.5" x14ac:dyDescent="0.35">
      <c r="A66" s="16"/>
      <c r="B66" s="8"/>
      <c r="C66" s="8"/>
      <c r="D66" s="9"/>
      <c r="E66" s="8"/>
      <c r="F66" s="9"/>
      <c r="G66" s="3"/>
      <c r="H66" s="3"/>
      <c r="I66" s="3"/>
      <c r="J66" s="3"/>
      <c r="K66" s="3"/>
    </row>
    <row r="67" spans="1:11" ht="70" x14ac:dyDescent="0.35">
      <c r="A67" s="16">
        <v>4</v>
      </c>
      <c r="B67" s="8" t="s">
        <v>6</v>
      </c>
      <c r="C67" s="10" t="s">
        <v>9</v>
      </c>
      <c r="D67" s="7" t="s">
        <v>40</v>
      </c>
      <c r="E67" s="10" t="s">
        <v>9</v>
      </c>
      <c r="F67" s="7" t="s">
        <v>40</v>
      </c>
      <c r="G67" s="4" t="s">
        <v>44</v>
      </c>
      <c r="H67" s="4" t="s">
        <v>48</v>
      </c>
      <c r="I67" s="5" t="s">
        <v>33</v>
      </c>
      <c r="J67" s="5" t="s">
        <v>34</v>
      </c>
      <c r="K67" s="3"/>
    </row>
    <row r="68" spans="1:11" ht="15.5" x14ac:dyDescent="0.35">
      <c r="A68" s="16"/>
      <c r="B68" s="8"/>
      <c r="C68" s="8"/>
      <c r="D68" s="9"/>
      <c r="E68" s="8"/>
      <c r="F68" s="9"/>
      <c r="G68" s="3"/>
      <c r="H68" s="3"/>
      <c r="I68" s="3"/>
      <c r="J68" s="3"/>
      <c r="K68" s="3"/>
    </row>
    <row r="69" spans="1:11" ht="31" x14ac:dyDescent="0.35">
      <c r="A69" s="16">
        <v>5</v>
      </c>
      <c r="B69" s="8" t="s">
        <v>36</v>
      </c>
      <c r="C69" s="12" t="s">
        <v>7</v>
      </c>
      <c r="D69" s="11" t="s">
        <v>41</v>
      </c>
      <c r="E69" s="12" t="s">
        <v>7</v>
      </c>
      <c r="F69" s="11" t="s">
        <v>41</v>
      </c>
      <c r="G69" s="4" t="s">
        <v>45</v>
      </c>
      <c r="H69" s="4" t="s">
        <v>49</v>
      </c>
      <c r="I69" s="5" t="s">
        <v>33</v>
      </c>
      <c r="J69" s="5" t="s">
        <v>34</v>
      </c>
      <c r="K69" s="3"/>
    </row>
    <row r="70" spans="1:11" ht="15.5" x14ac:dyDescent="0.35">
      <c r="A70" s="13"/>
      <c r="B70" s="14"/>
      <c r="C70" s="14"/>
      <c r="D70" s="14"/>
      <c r="E70" s="14"/>
      <c r="F70" s="14"/>
      <c r="G70" s="13"/>
      <c r="H70" s="13"/>
      <c r="I70" s="13"/>
      <c r="J70" s="13"/>
      <c r="K70" s="13"/>
    </row>
    <row r="71" spans="1:11" ht="15.5" x14ac:dyDescent="0.35">
      <c r="A71" s="13"/>
      <c r="B71" s="14" t="s">
        <v>11</v>
      </c>
      <c r="C71" s="14"/>
      <c r="D71" s="14"/>
      <c r="E71" s="14"/>
      <c r="F71" s="14"/>
      <c r="G71" s="13"/>
      <c r="H71" s="13"/>
      <c r="I71" s="13" t="s">
        <v>50</v>
      </c>
      <c r="J71" s="13"/>
      <c r="K71" s="13"/>
    </row>
    <row r="72" spans="1:11" ht="15.5" x14ac:dyDescent="0.35">
      <c r="A72" s="13"/>
      <c r="B72" s="14" t="s">
        <v>12</v>
      </c>
      <c r="C72" s="14"/>
      <c r="D72" s="14"/>
      <c r="E72" s="14"/>
      <c r="F72" s="14"/>
      <c r="G72" s="13"/>
      <c r="H72" s="13"/>
      <c r="I72" s="13" t="s">
        <v>51</v>
      </c>
      <c r="J72" s="13"/>
      <c r="K72" s="13"/>
    </row>
    <row r="73" spans="1:11" ht="15.5" x14ac:dyDescent="0.35">
      <c r="A73" s="13"/>
      <c r="B73" s="14"/>
      <c r="C73" s="14"/>
      <c r="D73" s="14"/>
      <c r="E73" s="14"/>
      <c r="F73" s="14"/>
      <c r="G73" s="13"/>
      <c r="H73" s="13"/>
      <c r="I73" s="13"/>
      <c r="J73" s="13"/>
      <c r="K73" s="13"/>
    </row>
    <row r="74" spans="1:11" ht="15.5" x14ac:dyDescent="0.35">
      <c r="A74" s="13"/>
      <c r="B74" s="14"/>
      <c r="C74" s="14"/>
      <c r="D74" s="14"/>
      <c r="E74" s="14"/>
      <c r="F74" s="14"/>
      <c r="G74" s="13"/>
      <c r="H74" s="13"/>
      <c r="I74" s="13"/>
      <c r="J74" s="13"/>
      <c r="K74" s="13"/>
    </row>
    <row r="75" spans="1:11" ht="15.5" x14ac:dyDescent="0.35">
      <c r="A75" s="13"/>
      <c r="B75" s="14"/>
      <c r="C75" s="14"/>
      <c r="D75" s="14"/>
      <c r="E75" s="14"/>
      <c r="F75" s="14"/>
      <c r="G75" s="13"/>
      <c r="H75" s="13"/>
      <c r="I75" s="13"/>
      <c r="J75" s="13"/>
      <c r="K75" s="13"/>
    </row>
    <row r="76" spans="1:11" ht="15.5" x14ac:dyDescent="0.35">
      <c r="A76" s="13"/>
      <c r="B76" s="14"/>
      <c r="C76" s="14"/>
      <c r="D76" s="14"/>
      <c r="E76" s="14"/>
      <c r="F76" s="14"/>
      <c r="G76" s="13"/>
      <c r="H76" s="13"/>
      <c r="I76" s="13"/>
      <c r="J76" s="13"/>
      <c r="K76" s="13"/>
    </row>
    <row r="77" spans="1:11" ht="15.5" x14ac:dyDescent="0.35">
      <c r="A77" s="13"/>
      <c r="B77" s="15" t="s">
        <v>13</v>
      </c>
      <c r="C77" s="14"/>
      <c r="D77" s="14"/>
      <c r="E77" s="14"/>
      <c r="F77" s="14"/>
      <c r="G77" s="13"/>
      <c r="H77" s="13"/>
      <c r="I77" s="6" t="s">
        <v>14</v>
      </c>
      <c r="J77" s="13"/>
      <c r="K77" s="13"/>
    </row>
    <row r="78" spans="1:11" ht="15.5" x14ac:dyDescent="0.35">
      <c r="A78" s="13"/>
      <c r="B78" s="15" t="s">
        <v>52</v>
      </c>
      <c r="C78" s="14"/>
      <c r="D78" s="14"/>
      <c r="E78" s="14"/>
      <c r="F78" s="14"/>
      <c r="G78" s="13"/>
      <c r="H78" s="13"/>
      <c r="I78" s="6" t="s">
        <v>15</v>
      </c>
      <c r="J78" s="13"/>
      <c r="K78" s="13"/>
    </row>
  </sheetData>
  <mergeCells count="30">
    <mergeCell ref="A53:K53"/>
    <mergeCell ref="A54:K54"/>
    <mergeCell ref="A59:A60"/>
    <mergeCell ref="B59:B60"/>
    <mergeCell ref="C59:D60"/>
    <mergeCell ref="E59:F60"/>
    <mergeCell ref="G59:H59"/>
    <mergeCell ref="I59:I60"/>
    <mergeCell ref="J59:J60"/>
    <mergeCell ref="K59:K60"/>
    <mergeCell ref="J7:J8"/>
    <mergeCell ref="K7:K8"/>
    <mergeCell ref="C7:D8"/>
    <mergeCell ref="E7:F8"/>
    <mergeCell ref="A1:K1"/>
    <mergeCell ref="A2:K2"/>
    <mergeCell ref="A7:A8"/>
    <mergeCell ref="B7:B8"/>
    <mergeCell ref="G7:H7"/>
    <mergeCell ref="I7:I8"/>
    <mergeCell ref="A27:K27"/>
    <mergeCell ref="A28:K28"/>
    <mergeCell ref="A33:A34"/>
    <mergeCell ref="B33:B34"/>
    <mergeCell ref="C33:D34"/>
    <mergeCell ref="E33:F34"/>
    <mergeCell ref="G33:H33"/>
    <mergeCell ref="I33:I34"/>
    <mergeCell ref="J33:J34"/>
    <mergeCell ref="K33:K34"/>
  </mergeCells>
  <pageMargins left="1.2204724409448819" right="1.3385826771653544" top="0.55118110236220474" bottom="0.55118110236220474" header="0.31496062992125984" footer="0.31496062992125984"/>
  <pageSetup paperSize="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 Remedial Kelas 4 a,</vt:lpstr>
      <vt:lpstr>Program Remedial Kelas 4 b.</vt:lpstr>
      <vt:lpstr>Program Remedial Kelas 3</vt:lpstr>
      <vt:lpstr>Sumatif Lingkup Materi (2)</vt:lpstr>
      <vt:lpstr>oke Lingk. 1</vt:lpstr>
      <vt:lpstr>SAS</vt:lpstr>
      <vt:lpstr>Prog.Perbaikan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ACER AG14-31P</cp:lastModifiedBy>
  <cp:lastPrinted>2025-08-10T09:20:16Z</cp:lastPrinted>
  <dcterms:created xsi:type="dcterms:W3CDTF">2015-03-02T04:57:52Z</dcterms:created>
  <dcterms:modified xsi:type="dcterms:W3CDTF">2026-01-19T01:41:01Z</dcterms:modified>
</cp:coreProperties>
</file>